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Excel\Project 3\"/>
    </mc:Choice>
  </mc:AlternateContent>
  <xr:revisionPtr revIDLastSave="0" documentId="13_ncr:1_{78E6728B-B888-4884-B07F-6AA0F3DBBC06}" xr6:coauthVersionLast="47" xr6:coauthVersionMax="47" xr10:uidLastSave="{00000000-0000-0000-0000-000000000000}"/>
  <bookViews>
    <workbookView xWindow="-108" yWindow="-108" windowWidth="23256" windowHeight="13176" xr2:uid="{00000000-000D-0000-FFFF-FFFF00000000}"/>
  </bookViews>
  <sheets>
    <sheet name="Dashboard" sheetId="21" r:id="rId1"/>
    <sheet name="TotalSales" sheetId="18" r:id="rId2"/>
    <sheet name="CountryBarChart" sheetId="19" r:id="rId3"/>
    <sheet name="Top5Customers" sheetId="20"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18"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N9" i="17"/>
  <c r="N239" i="17"/>
  <c r="N435" i="17"/>
  <c r="N605" i="17"/>
  <c r="N719" i="17"/>
  <c r="N817" i="17"/>
  <c r="N921" i="17"/>
  <c r="N994" i="17"/>
  <c r="M17" i="17"/>
  <c r="M53" i="17"/>
  <c r="M56" i="17"/>
  <c r="M63" i="17"/>
  <c r="M65" i="17"/>
  <c r="M128" i="17"/>
  <c r="M197" i="17"/>
  <c r="M257" i="17"/>
  <c r="M308" i="17"/>
  <c r="M361" i="17"/>
  <c r="M408" i="17"/>
  <c r="M453" i="17"/>
  <c r="M500" i="17"/>
  <c r="M542" i="17"/>
  <c r="M572" i="17"/>
  <c r="M602" i="17"/>
  <c r="M626" i="17"/>
  <c r="M648" i="17"/>
  <c r="M669" i="17"/>
  <c r="M692" i="17"/>
  <c r="M714" i="17"/>
  <c r="M731" i="17"/>
  <c r="M749" i="17"/>
  <c r="M766" i="17"/>
  <c r="M784" i="17"/>
  <c r="M801" i="17"/>
  <c r="M819" i="17"/>
  <c r="M836" i="17"/>
  <c r="M854" i="17"/>
  <c r="M871" i="17"/>
  <c r="M888" i="17"/>
  <c r="M904" i="17"/>
  <c r="M920" i="17"/>
  <c r="M936" i="17"/>
  <c r="M952" i="17"/>
  <c r="M968" i="17"/>
  <c r="M984" i="17"/>
  <c r="M999"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I54" i="17"/>
  <c r="N54" i="17" s="1"/>
  <c r="J54" i="17"/>
  <c r="O54" i="17" s="1"/>
  <c r="K54" i="17"/>
  <c r="L54" i="17"/>
  <c r="M54" i="17" s="1"/>
  <c r="I55" i="17"/>
  <c r="N55" i="17" s="1"/>
  <c r="J55" i="17"/>
  <c r="O55" i="17" s="1"/>
  <c r="K55" i="17"/>
  <c r="L55" i="17"/>
  <c r="M55" i="17" s="1"/>
  <c r="I56" i="17"/>
  <c r="N56" i="17" s="1"/>
  <c r="J56" i="17"/>
  <c r="O56" i="17" s="1"/>
  <c r="K56" i="17"/>
  <c r="L56" i="17"/>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I64" i="17"/>
  <c r="N64" i="17" s="1"/>
  <c r="J64" i="17"/>
  <c r="O64" i="17" s="1"/>
  <c r="K64" i="17"/>
  <c r="L64" i="17"/>
  <c r="M64" i="17" s="1"/>
  <c r="I65" i="17"/>
  <c r="N65" i="17" s="1"/>
  <c r="J65" i="17"/>
  <c r="O65" i="17" s="1"/>
  <c r="K65" i="17"/>
  <c r="L65" i="17"/>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I603" i="17"/>
  <c r="N603" i="17" s="1"/>
  <c r="J603" i="17"/>
  <c r="O603" i="17" s="1"/>
  <c r="K603" i="17"/>
  <c r="L603" i="17"/>
  <c r="M603" i="17" s="1"/>
  <c r="I604" i="17"/>
  <c r="N604" i="17" s="1"/>
  <c r="J604" i="17"/>
  <c r="O604" i="17" s="1"/>
  <c r="K604" i="17"/>
  <c r="L604" i="17"/>
  <c r="M604" i="17" s="1"/>
  <c r="I605" i="17"/>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J817" i="17"/>
  <c r="O817" i="17" s="1"/>
  <c r="K817" i="17"/>
  <c r="L817" i="17"/>
  <c r="M817" i="17" s="1"/>
  <c r="I818" i="17"/>
  <c r="N818" i="17" s="1"/>
  <c r="J818" i="17"/>
  <c r="O818" i="17" s="1"/>
  <c r="K818" i="17"/>
  <c r="L818" i="17"/>
  <c r="M818" i="17" s="1"/>
  <c r="I819" i="17"/>
  <c r="N819" i="17" s="1"/>
  <c r="J819" i="17"/>
  <c r="O819" i="17" s="1"/>
  <c r="K819" i="17"/>
  <c r="L819" i="17"/>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I921" i="17"/>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<sst xmlns="http://schemas.openxmlformats.org/spreadsheetml/2006/main" count="11128" uniqueCount="6221">
  <si>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</si>
  <si>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</si>
  <si>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</si>
  <si>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</si>
  <si>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</si>
  <si>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</si>
  <si>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</si>
  <si>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</si>
  <si>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</si>
  <si>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</si>
  <si>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</si>
  <si>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</si>
  <si>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</si>
  <si>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</si>
  <si>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</si>
  <si>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</si>
  <si>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</si>
  <si>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</si>
  <si>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</si>
  <si>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</si>
  <si>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</si>
  <si>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</si>
  <si>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</si>
  <si>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</si>
  <si>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</si>
  <si>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</si>
  <si>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</si>
  <si>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</si>
  <si>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</si>
  <si>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</si>
  <si>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</si>
  <si>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</si>
  <si>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</si>
  <si>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</si>
  <si>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</si>
  <si>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</si>
  <si>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</si>
  <si>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</si>
  <si>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</si>
  <si>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</si>
  <si>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</si>
  <si>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</si>
  <si>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</si>
  <si>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</si>
  <si>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</si>
  <si>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</si>
  <si>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</si>
  <si>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</si>
  <si>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</si>
  <si>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</si>
  <si>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</si>
  <si>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</si>
  <si>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</si>
  <si>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</si>
  <si>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</si>
  <si>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</si>
  <si>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</si>
  <si>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</si>
  <si>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</si>
  <si>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</si>
  <si>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</si>
  <si>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</si>
  <si>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</si>
  <si>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</si>
  <si>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</si>
  <si>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</si>
  <si>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</si>
  <si>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</si>
  <si>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</si>
  <si>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</si>
  <si>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</si>
  <si>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</si>
  <si>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</si>
  <si>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</si>
  <si>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</si>
  <si>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</si>
  <si>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</si>
  <si>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</si>
  <si>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</si>
  <si>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</si>
  <si>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</si>
  <si>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</si>
  <si>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</si>
  <si>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</si>
  <si>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</si>
  <si>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</si>
  <si>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</si>
  <si>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</si>
  <si>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</si>
  <si>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</si>
  <si>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</si>
  <si>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</si>
  <si>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</si>
  <si>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</si>
  <si>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</si>
  <si>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</si>
  <si>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</si>
  <si>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</si>
  <si>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</si>
  <si>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</si>
  <si>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</si>
  <si>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</si>
  <si>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</si>
  <si>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</si>
  <si>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</si>
  <si>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</si>
  <si>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</si>
  <si>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</si>
  <si>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</si>
  <si>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</si>
  <si>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</si>
  <si>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</si>
  <si>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</si>
  <si>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</si>
  <si>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</si>
  <si>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</si>
  <si>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</si>
  <si>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</si>
  <si>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</si>
  <si>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</si>
  <si>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</si>
  <si>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</si>
  <si>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</si>
  <si>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</si>
  <si>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</si>
  <si>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</si>
  <si>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</si>
  <si>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</si>
  <si>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</si>
  <si>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</si>
  <si>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</si>
  <si>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</si>
  <si>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</si>
  <si>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</si>
  <si>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</si>
  <si>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</si>
  <si>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</si>
  <si>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</si>
  <si>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</si>
  <si>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</si>
  <si>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</si>
  <si>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</si>
  <si>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</si>
  <si>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</si>
  <si>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</si>
  <si>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</si>
  <si>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</si>
  <si>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</si>
  <si>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</si>
  <si>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</si>
  <si>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</si>
  <si>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</si>
  <si>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</si>
  <si>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</si>
  <si>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</si>
  <si>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</si>
  <si>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</si>
  <si>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</si>
  <si>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</si>
  <si>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</si>
  <si>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</si>
  <si>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</si>
  <si>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</si>
  <si>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</si>
  <si>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</si>
  <si>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</si>
  <si>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</si>
  <si>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</si>
  <si>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</si>
  <si>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</si>
  <si>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</si>
  <si>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</si>
  <si>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</si>
  <si>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</si>
  <si>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</si>
  <si>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</si>
  <si>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</si>
  <si>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</si>
  <si>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</si>
  <si>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</si>
  <si>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</si>
  <si>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</si>
  <si>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</si>
  <si>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</si>
  <si>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</si>
  <si>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</si>
  <si>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</si>
  <si>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</si>
  <si>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</si>
  <si>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</si>
  <si>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</si>
  <si>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</si>
  <si>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</si>
  <si>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</si>
  <si>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</si>
  <si>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</si>
  <si>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</si>
  <si>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</si>
  <si>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</si>
  <si>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</si>
  <si>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</si>
  <si>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</si>
  <si>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</si>
  <si>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</si>
  <si>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</si>
  <si>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</si>
  <si>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</si>
  <si>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</si>
  <si>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</si>
  <si>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</si>
  <si>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</si>
  <si>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</si>
  <si>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</si>
  <si>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</si>
  <si>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</si>
  <si>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</si>
  <si>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</si>
  <si>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</si>
  <si>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</si>
  <si>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</si>
  <si>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</si>
  <si>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</si>
  <si>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</si>
  <si>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</si>
  <si>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</si>
  <si>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</si>
  <si>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</si>
  <si>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</si>
  <si>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</si>
  <si>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</si>
  <si>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</si>
  <si>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</si>
  <si>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</si>
  <si>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</si>
  <si>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</si>
  <si>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</si>
  <si>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</si>
  <si>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</si>
  <si>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</si>
  <si>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</si>
  <si>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</si>
  <si>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</si>
  <si>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</si>
  <si>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</si>
  <si>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</si>
  <si>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</si>
  <si>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</si>
  <si>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</si>
  <si>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</si>
  <si>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</si>
  <si>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</si>
  <si>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</si>
  <si>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</si>
  <si>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</si>
  <si>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</si>
  <si>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</si>
  <si>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</si>
  <si>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</si>
  <si>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</si>
  <si>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</si>
  <si>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</si>
  <si>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</si>
  <si>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</si>
  <si>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</si>
  <si>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</si>
  <si>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</si>
  <si>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</si>
  <si>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</si>
  <si>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</si>
  <si>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</si>
  <si>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</si>
  <si>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</si>
  <si>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</si>
  <si>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</si>
  <si>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</si>
  <si>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</si>
  <si>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</si>
  <si>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</si>
  <si>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</si>
  <si>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</si>
  <si>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</si>
  <si>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</si>
  <si>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</si>
  <si>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</si>
  <si>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</si>
  <si>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</si>
  <si>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</si>
  <si>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</si>
  <si>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</si>
  <si>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</si>
  <si>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</si>
  <si>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</si>
  <si>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</si>
  <si>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</si>
  <si>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</si>
  <si>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</si>
  <si>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</si>
  <si>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</si>
  <si>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</si>
  <si>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</si>
  <si>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</si>
  <si>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</si>
  <si>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</si>
  <si>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</si>
  <si>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</si>
  <si>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</si>
  <si>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</si>
  <si>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</si>
  <si>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</si>
  <si>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</si>
  <si>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</si>
  <si>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</si>
  <si>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</si>
  <si>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</si>
  <si>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</si>
  <si>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</si>
  <si>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</si>
  <si>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</si>
  <si>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</si>
  <si>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</si>
  <si>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</si>
  <si>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</si>
  <si>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</si>
  <si>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</si>
  <si>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</si>
  <si>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</si>
  <si>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</si>
  <si>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</si>
  <si>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</si>
  <si>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</si>
  <si>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</si>
  <si>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</si>
  <si>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</si>
  <si>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</si>
  <si>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</si>
  <si>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</si>
  <si>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</si>
  <si>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</si>
  <si>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</si>
  <si>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</si>
  <si>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</si>
  <si>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</si>
  <si>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</si>
  <si>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</si>
  <si>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</si>
  <si>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</si>
  <si>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</si>
  <si>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</si>
  <si>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</si>
  <si>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</si>
  <si>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</si>
  <si>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</si>
  <si>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</si>
  <si>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</si>
  <si>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</si>
  <si>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</si>
  <si>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</si>
  <si>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</si>
  <si>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</si>
  <si>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</si>
  <si>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</si>
  <si>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</si>
  <si>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</si>
  <si>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</si>
  <si>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</si>
  <si>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</si>
  <si>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</si>
  <si>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</si>
  <si>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</si>
  <si>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</si>
  <si>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</si>
  <si>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</si>
  <si>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</si>
  <si>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</si>
  <si>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</si>
  <si>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</si>
  <si>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</si>
  <si>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</si>
  <si>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</si>
  <si>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</si>
  <si>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</si>
  <si>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</si>
  <si>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</si>
  <si>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</si>
  <si>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</si>
  <si>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</si>
  <si>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</si>
  <si>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</si>
  <si>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</si>
  <si>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</si>
  <si>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</si>
  <si>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</si>
  <si>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</si>
  <si>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</si>
  <si>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</si>
  <si>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</si>
  <si>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</si>
  <si>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</si>
  <si>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</si>
  <si>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</si>
  <si>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</si>
  <si>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</si>
  <si>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</si>
  <si>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</si>
  <si>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</si>
  <si>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</si>
  <si>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</si>
  <si>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</si>
  <si>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</si>
  <si>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</si>
  <si>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</si>
  <si>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</si>
  <si>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</si>
  <si>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</si>
  <si>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</si>
  <si>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</si>
  <si>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</si>
  <si>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</si>
  <si>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</si>
  <si>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</si>
  <si>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</si>
  <si>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</si>
  <si>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</si>
  <si>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</si>
  <si>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</si>
  <si>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</si>
  <si>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</si>
  <si>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</si>
  <si>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</si>
  <si>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</si>
  <si>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</si>
  <si>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</si>
  <si>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</si>
  <si>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</si>
  <si>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</si>
  <si>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</si>
  <si>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</si>
  <si>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</si>
  <si>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</si>
  <si>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</si>
  <si>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</si>
  <si>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</si>
  <si>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</si>
  <si>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</si>
  <si>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</si>
  <si>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</si>
  <si>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</si>
  <si>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</si>
  <si>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</si>
  <si>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</si>
  <si>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</si>
  <si>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</si>
  <si>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</si>
  <si>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</si>
  <si>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</si>
  <si>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</si>
  <si>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</si>
  <si>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</si>
  <si>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</si>
  <si>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</si>
  <si>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</si>
  <si>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</si>
  <si>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</si>
  <si>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</si>
  <si>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</si>
  <si>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</si>
  <si>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</si>
  <si>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</si>
  <si>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</si>
  <si>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</si>
  <si>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</si>
  <si>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</si>
  <si>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</si>
  <si>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</si>
  <si>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</si>
  <si>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</si>
  <si>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</si>
  <si>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</si>
  <si>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</si>
  <si>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</si>
  <si>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</si>
  <si>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</si>
  <si>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</si>
  <si>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</si>
  <si>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</si>
  <si>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</si>
  <si>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</si>
  <si>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</si>
  <si>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</si>
  <si>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</si>
  <si>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</si>
  <si>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</si>
  <si>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</si>
  <si>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</si>
  <si>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</si>
  <si>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</si>
  <si>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</si>
  <si>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</si>
  <si>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</si>
  <si>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</si>
  <si>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</si>
  <si>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</si>
  <si>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</si>
  <si>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</si>
  <si>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</si>
  <si>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</si>
  <si>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</si>
  <si>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</si>
  <si>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</si>
  <si>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</si>
  <si>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</si>
  <si>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</si>
  <si>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</si>
  <si>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</si>
  <si>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</si>
  <si>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</si>
  <si>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</si>
  <si>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</si>
  <si>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</si>
  <si>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</si>
  <si>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</si>
  <si>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</si>
  <si>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</si>
  <si>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</si>
  <si>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</si>
  <si>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</si>
  <si>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</si>
  <si>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</si>
  <si>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</si>
  <si>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</si>
  <si>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</si>
  <si>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</si>
  <si>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</si>
  <si>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</si>
  <si>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</si>
  <si>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</si>
  <si>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</si>
  <si>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</si>
  <si>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</si>
  <si>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</si>
  <si>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</si>
  <si>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</si>
  <si>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</si>
  <si>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</si>
  <si>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</si>
  <si>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</si>
  <si>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</si>
  <si>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</si>
  <si>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</si>
  <si>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</si>
  <si>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</si>
  <si>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</si>
  <si>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</si>
  <si>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</si>
  <si>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</si>
  <si>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</si>
  <si>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</si>
  <si>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</si>
  <si>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</si>
  <si>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</si>
  <si>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</si>
  <si>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</si>
  <si>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</si>
  <si>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</si>
  <si>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</si>
  <si>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</si>
  <si>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</si>
  <si>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</si>
  <si>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</si>
  <si>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</si>
  <si>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</si>
  <si>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</si>
  <si>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</si>
  <si>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</si>
  <si>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</si>
  <si>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</si>
  <si>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</si>
  <si>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</si>
  <si>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</si>
  <si>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</si>
  <si>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</si>
  <si>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</si>
  <si>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</si>
  <si>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</si>
  <si>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</si>
  <si>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</si>
  <si>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</si>
  <si>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</si>
  <si>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</si>
  <si>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</si>
  <si>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</si>
  <si>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</si>
  <si>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</si>
  <si>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</si>
  <si>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</si>
  <si>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</si>
  <si>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</si>
  <si>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</si>
  <si>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</si>
  <si>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</si>
  <si>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</si>
  <si>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</si>
  <si>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</si>
  <si>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</si>
  <si>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</si>
  <si>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</si>
  <si>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</si>
  <si>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</si>
  <si>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</si>
  <si>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</si>
  <si>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</si>
  <si>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</si>
  <si>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</si>
  <si>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</si>
  <si>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</si>
  <si>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</si>
  <si>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</si>
  <si>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</si>
  <si>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</si>
  <si>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</si>
  <si>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</si>
  <si>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</si>
  <si>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</si>
  <si>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</si>
  <si>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</si>
  <si>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</si>
  <si>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</si>
  <si>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</si>
  <si>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</si>
  <si>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</si>
  <si>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</si>
  <si>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</si>
  <si>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</si>
  <si>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</si>
  <si>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</si>
  <si>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</si>
  <si>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</si>
  <si>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</si>
  <si>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</si>
  <si>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</si>
  <si>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</si>
  <si>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</si>
  <si>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</si>
  <si>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</si>
  <si>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</si>
  <si>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</si>
  <si>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</si>
  <si>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</si>
  <si>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</si>
  <si>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</si>
  <si>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</si>
  <si>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</si>
  <si>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</si>
  <si>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</si>
  <si>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</si>
  <si>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</si>
  <si>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</si>
  <si>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</si>
  <si>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</si>
  <si>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</si>
  <si>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</si>
  <si>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</si>
  <si>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</si>
  <si>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</si>
  <si>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</si>
  <si>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</si>
  <si>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</si>
  <si>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</si>
  <si>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</si>
  <si>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</si>
  <si>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</si>
  <si>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</si>
  <si>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</si>
  <si>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</si>
  <si>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</si>
  <si>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</si>
  <si>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</si>
  <si>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</si>
  <si>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</si>
  <si>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</si>
  <si>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</si>
  <si>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</si>
  <si>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</si>
  <si>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</si>
  <si>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</si>
  <si>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</si>
  <si>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</si>
  <si>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</si>
  <si>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</si>
  <si>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</si>
  <si>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</si>
  <si>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</si>
  <si>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</si>
  <si>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</si>
  <si>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</si>
  <si>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</si>
  <si>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</si>
  <si>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</si>
  <si>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</si>
  <si>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</si>
  <si>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</si>
  <si>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</si>
  <si>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</si>
  <si>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</si>
  <si>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</si>
  <si>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</si>
  <si>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</si>
  <si>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</si>
  <si>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</si>
  <si>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</si>
  <si>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</si>
  <si>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</si>
  <si>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</si>
  <si>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</si>
  <si>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</si>
  <si>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</si>
  <si>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</si>
  <si>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</si>
  <si>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</si>
  <si>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</si>
  <si>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</si>
  <si>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</si>
  <si>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</si>
  <si>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</si>
  <si>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</si>
  <si>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</si>
  <si>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</si>
  <si>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</si>
  <si>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</si>
  <si>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</si>
  <si>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</si>
  <si>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</si>
  <si>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</si>
  <si>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</si>
  <si>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</si>
  <si>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</si>
  <si>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</si>
  <si>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</si>
  <si>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</si>
  <si>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</si>
  <si>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</si>
  <si>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</si>
  <si>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</si>
  <si>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</si>
  <si>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</si>
  <si>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</si>
  <si>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</si>
  <si>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</si>
  <si>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</si>
  <si>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</si>
  <si>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</si>
  <si>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</si>
  <si>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</si>
  <si>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</si>
  <si>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</si>
  <si>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</si>
  <si>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</si>
  <si>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</si>
  <si>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</si>
  <si>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</si>
  <si>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</si>
  <si>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</si>
  <si>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</si>
  <si>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</si>
  <si>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</si>
  <si>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</si>
  <si>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</si>
  <si>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</si>
  <si>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</si>
  <si>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</si>
  <si>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</si>
  <si>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</si>
  <si>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</si>
  <si>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</si>
  <si>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</si>
  <si>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</si>
  <si>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</si>
  <si>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</si>
  <si>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</si>
  <si>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</si>
  <si>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</si>
  <si>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</si>
  <si>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</si>
  <si>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</si>
  <si>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</si>
  <si>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</si>
  <si>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</si>
  <si>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</si>
  <si>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</si>
  <si>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</si>
  <si>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</si>
  <si>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</si>
  <si>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</si>
  <si>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</si>
  <si>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</si>
  <si>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</si>
  <si>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</si>
  <si>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</si>
  <si>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</si>
  <si>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</si>
  <si>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</si>
  <si>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</si>
  <si>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</si>
  <si>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</si>
  <si>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</si>
  <si>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</si>
  <si>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</si>
  <si>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</si>
  <si>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</si>
  <si>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</si>
  <si>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</si>
  <si>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</si>
  <si>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</si>
  <si>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</si>
  <si>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</si>
  <si>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</si>
  <si>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</si>
  <si>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</si>
  <si>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</si>
  <si>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</si>
  <si>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</si>
  <si>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</si>
  <si>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</si>
  <si>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</si>
  <si>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</si>
  <si>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</si>
  <si>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</si>
  <si>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</si>
  <si>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</si>
  <si>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</si>
  <si>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</si>
  <si>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</si>
  <si>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</si>
  <si>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</si>
  <si>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</si>
  <si>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</si>
  <si>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</si>
  <si>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</si>
  <si>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</si>
  <si>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</si>
  <si>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</si>
  <si>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</si>
  <si>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</si>
  <si>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</si>
  <si>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</si>
  <si>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</si>
  <si>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</si>
  <si>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</si>
  <si>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</si>
  <si>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</si>
  <si>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</si>
  <si>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</si>
  <si>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</si>
  <si>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</si>
  <si>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</si>
  <si>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</si>
  <si>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</si>
  <si>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</si>
  <si>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</si>
  <si>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</si>
  <si>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</si>
  <si>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</si>
  <si>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</si>
  <si>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</si>
  <si>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</si>
  <si>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</si>
  <si>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</si>
  <si>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</si>
  <si>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</si>
  <si>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</si>
  <si>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</si>
  <si>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</si>
  <si>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</si>
  <si>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</si>
  <si>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</si>
  <si>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</si>
  <si>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</si>
  <si>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</si>
  <si>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</si>
  <si>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</si>
  <si>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</si>
  <si>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</si>
  <si>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</si>
  <si>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</si>
  <si>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</si>
  <si>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</si>
  <si>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</si>
  <si>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</si>
  <si>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</si>
  <si>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</si>
  <si>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</si>
  <si>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</si>
  <si>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</si>
  <si>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</si>
  <si>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</si>
  <si>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</si>
  <si>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</si>
  <si>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</si>
  <si>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</si>
  <si>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</si>
  <si>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</si>
  <si>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</si>
  <si>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</si>
  <si>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</si>
  <si>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</si>
  <si>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</si>
  <si>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</si>
  <si>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</si>
  <si>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</si>
  <si>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</si>
  <si>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</si>
  <si>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</si>
  <si>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</si>
  <si>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</si>
  <si>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</si>
  <si>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</si>
  <si>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</si>
  <si>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</si>
  <si>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</si>
  <si>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</si>
  <si>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</si>
  <si>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</si>
  <si>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</si>
  <si>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</si>
  <si>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</si>
  <si>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</si>
  <si>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</si>
  <si>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</si>
  <si>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</si>
  <si>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</si>
  <si>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</si>
  <si>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</si>
  <si>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</si>
  <si>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</si>
  <si>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</si>
  <si>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</si>
  <si>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</si>
  <si>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</si>
  <si>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</si>
  <si>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</si>
  <si>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</si>
  <si>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</si>
  <si>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</si>
  <si>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</si>
  <si>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</si>
  <si>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</si>
  <si>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</si>
  <si>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</si>
  <si>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</si>
  <si>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</si>
  <si>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</si>
  <si>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</si>
  <si>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</si>
  <si>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</si>
  <si>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</si>
  <si>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</si>
  <si>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</si>
  <si>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</si>
  <si>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</si>
  <si>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</si>
  <si>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</si>
  <si>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</si>
  <si>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</si>
  <si>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</si>
  <si>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</si>
  <si>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</si>
  <si>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</si>
  <si>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</si>
  <si>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</si>
  <si>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</si>
  <si>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</si>
  <si>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</si>
  <si>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</si>
  <si>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</si>
  <si>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</si>
  <si>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</si>
  <si>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</si>
  <si>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</si>
  <si>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</si>
  <si>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</si>
  <si>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</si>
  <si>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</si>
  <si>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</si>
  <si>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</si>
  <si>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</si>
  <si>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</si>
  <si>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</si>
  <si>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</si>
  <si>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</si>
  <si>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</si>
  <si>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</si>
  <si>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</si>
  <si>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</si>
  <si>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</si>
  <si>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</si>
  <si>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</si>
  <si>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</si>
  <si>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</si>
  <si>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</si>
  <si>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</si>
  <si>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</si>
  <si>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</si>
  <si>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</si>
  <si>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</si>
  <si>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</si>
  <si>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</si>
  <si>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</si>
  <si>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</si>
  <si>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</si>
  <si>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</si>
  <si>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</si>
  <si>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</si>
  <si>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</si>
  <si>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</si>
  <si>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</si>
  <si>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</si>
  <si>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</si>
  <si>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</si>
  <si>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</si>
  <si>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</si>
  <si>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</si>
  <si>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</si>
  <si>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</si>
  <si>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</si>
  <si>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</si>
  <si>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</si>
  <si>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</si>
  <si>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</si>
  <si>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</si>
  <si>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</si>
  <si>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</si>
  <si>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</si>
  <si>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</si>
  <si>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</si>
  <si>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</si>
  <si>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</si>
  <si>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</si>
  <si>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</si>
  <si>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</si>
  <si>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</si>
  <si>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</si>
  <si>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</si>
  <si>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</si>
  <si>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</si>
  <si>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</si>
  <si>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</si>
  <si>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</si>
  <si>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</si>
  <si>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</si>
  <si>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</si>
  <si>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</si>
  <si>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</si>
  <si>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</si>
  <si>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</si>
  <si>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</si>
  <si>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</si>
  <si>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</si>
  <si>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</si>
  <si>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</si>
  <si>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</si>
  <si>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</si>
  <si>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</si>
  <si>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</si>
  <si>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</si>
  <si>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</si>
  <si>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</si>
  <si>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</si>
  <si>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</si>
  <si>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</si>
  <si>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</si>
  <si>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</si>
  <si>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</si>
  <si>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</si>
  <si>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</si>
  <si>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</si>
  <si>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</si>
  <si>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</si>
  <si>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</si>
  <si>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</si>
  <si>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</si>
  <si>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</si>
  <si>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</si>
  <si>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</si>
  <si>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</si>
  <si>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</si>
  <si>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</si>
  <si>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</si>
  <si>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</si>
  <si>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</si>
  <si>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</si>
  <si>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</si>
  <si>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</si>
  <si>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</si>
  <si>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</si>
  <si>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</si>
  <si>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</si>
  <si>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</si>
  <si>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</si>
  <si>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</si>
  <si>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</si>
  <si>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</si>
  <si>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</si>
  <si>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</si>
  <si>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</si>
  <si>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</si>
  <si>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</si>
  <si>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</si>
  <si>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</si>
  <si>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</si>
  <si>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</si>
  <si>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</si>
  <si>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</si>
  <si>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</si>
  <si>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</si>
  <si>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</si>
  <si>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</si>
  <si>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</si>
  <si>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</si>
  <si>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</si>
  <si>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</si>
  <si>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</si>
  <si>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</si>
  <si>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</si>
  <si>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</si>
  <si>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</si>
  <si>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</si>
  <si>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</si>
  <si>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</si>
  <si>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</si>
  <si>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</si>
  <si>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</si>
  <si>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</si>
  <si>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</si>
  <si>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</si>
  <si>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</si>
  <si>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</si>
  <si>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</si>
  <si>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</si>
  <si>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</si>
  <si>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</si>
  <si>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</si>
  <si>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</si>
  <si>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</si>
  <si>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</si>
  <si>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</si>
  <si>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</si>
  <si>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</si>
  <si>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</si>
  <si>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</si>
  <si>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</si>
  <si>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</si>
  <si>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</si>
  <si>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</si>
  <si>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</si>
  <si>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</si>
  <si>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</si>
  <si>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</si>
  <si>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</si>
  <si>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</si>
  <si>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</si>
  <si>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</si>
  <si>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</si>
  <si>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</si>
  <si>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</si>
  <si>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</si>
  <si>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</si>
  <si>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</si>
  <si>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</si>
  <si>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</si>
  <si>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</si>
  <si>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</si>
  <si>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</si>
  <si>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</si>
  <si>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</si>
  <si>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</si>
  <si>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</si>
  <si>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</si>
  <si>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</si>
  <si>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</si>
  <si>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</si>
  <si>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</si>
  <si>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</si>
  <si>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</si>
  <si>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</si>
  <si>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</si>
  <si>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</si>
  <si>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</si>
  <si>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</si>
  <si>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</si>
  <si>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</si>
  <si>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</si>
  <si>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</si>
  <si>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</si>
  <si>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</si>
  <si>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</si>
  <si>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</si>
  <si>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</si>
  <si>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</si>
  <si>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</si>
  <si>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</si>
  <si>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</si>
  <si>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</si>
  <si>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</si>
  <si>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</si>
  <si>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</si>
  <si>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</si>
  <si>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</si>
  <si>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</si>
  <si>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</si>
  <si>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</si>
  <si>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</si>
  <si>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</si>
  <si>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</si>
  <si>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</si>
  <si>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</si>
  <si>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</si>
  <si>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</si>
  <si>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</si>
  <si>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</si>
  <si>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</si>
  <si>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</si>
  <si>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</si>
  <si>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</si>
  <si>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</si>
  <si>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</si>
  <si>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</si>
  <si>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</si>
  <si>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</si>
  <si>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</si>
  <si>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</si>
  <si>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</si>
  <si>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</si>
  <si>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</si>
  <si>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</si>
  <si>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</si>
  <si>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</si>
  <si>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</si>
  <si>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</si>
  <si>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</si>
  <si>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</si>
  <si>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</si>
  <si>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</si>
  <si>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</si>
  <si>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</si>
  <si>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</si>
  <si>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</si>
  <si>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</si>
  <si>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</si>
  <si>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</si>
  <si>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</si>
  <si>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</si>
  <si>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</si>
  <si>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</si>
  <si>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</si>
  <si>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</si>
  <si>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</si>
  <si>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</si>
  <si>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</si>
  <si>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</si>
  <si>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</si>
  <si>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</si>
  <si>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</si>
  <si>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</si>
  <si>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</si>
  <si>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</si>
  <si>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</si>
  <si>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</si>
  <si>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</si>
  <si>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</si>
  <si>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</si>
  <si>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</si>
  <si>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</si>
  <si>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</si>
  <si>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</si>
  <si>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</si>
  <si>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</si>
  <si>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</si>
  <si>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</si>
  <si>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</si>
  <si>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</si>
  <si>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</si>
  <si>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</si>
  <si>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</si>
  <si>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</si>
  <si>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</si>
  <si>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</si>
  <si>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</si>
  <si>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</si>
  <si>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</si>
  <si>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</si>
  <si>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</si>
  <si>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</si>
  <si>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</si>
  <si>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</si>
  <si>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</si>
  <si>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</si>
  <si>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</si>
  <si>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</si>
  <si>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</si>
  <si>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</si>
  <si>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</si>
  <si>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</si>
  <si>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</si>
  <si>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</si>
  <si>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</si>
  <si>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</si>
  <si>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</si>
  <si>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</si>
  <si>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</si>
  <si>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</si>
  <si>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</si>
  <si>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</si>
  <si>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</si>
  <si>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</si>
  <si>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</si>
  <si>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</si>
  <si>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</si>
  <si>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</si>
  <si>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</si>
  <si>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</si>
  <si>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</si>
  <si>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</si>
  <si>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</si>
  <si>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</si>
  <si>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</si>
  <si>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</si>
  <si>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</si>
  <si>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</si>
  <si>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</si>
  <si>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</si>
  <si>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</si>
  <si>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</si>
  <si>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</si>
  <si>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</si>
  <si>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</si>
  <si>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</si>
  <si>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</si>
  <si>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</si>
  <si>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</si>
  <si>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</si>
  <si>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</si>
  <si>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</si>
  <si>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</si>
  <si>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</si>
  <si>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</si>
  <si>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</si>
  <si>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</si>
  <si>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</si>
  <si>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</si>
  <si>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</si>
  <si>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</si>
  <si>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</si>
  <si>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</si>
  <si>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</si>
  <si>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</si>
  <si>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</si>
  <si>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</si>
  <si>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</si>
  <si>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</si>
  <si>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</si>
  <si>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</si>
  <si>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</si>
  <si>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</si>
  <si>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</si>
  <si>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</si>
  <si>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</si>
  <si>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</si>
  <si>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</si>
  <si>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</si>
  <si>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</si>
  <si>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</si>
  <si>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</si>
  <si>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</si>
  <si>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</si>
  <si>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</si>
  <si>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</si>
  <si>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</si>
  <si>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</si>
  <si>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</si>
  <si>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</si>
  <si>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</si>
  <si>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</si>
  <si>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</si>
  <si>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</si>
  <si>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</si>
  <si>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</si>
  <si>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</si>
  <si>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</si>
  <si>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</si>
  <si>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</si>
  <si>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</si>
  <si>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</si>
  <si>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</si>
  <si>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</si>
  <si>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</si>
  <si>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</si>
  <si>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</si>
  <si>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</si>
  <si>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</si>
  <si>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</si>
  <si>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</si>
  <si>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</si>
  <si>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</si>
  <si>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</si>
  <si>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</si>
  <si>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</si>
  <si>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</si>
  <si>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</si>
  <si>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</si>
  <si>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</si>
  <si>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</si>
  <si>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</si>
  <si>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</si>
  <si>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</si>
  <si>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</si>
  <si>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</si>
  <si>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</si>
  <si>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</si>
  <si>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</si>
  <si>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</si>
  <si>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</si>
  <si>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</si>
  <si>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</si>
  <si>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</si>
  <si>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</si>
  <si>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</si>
  <si>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</si>
  <si>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</si>
  <si>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</si>
  <si>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</si>
  <si>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</si>
  <si>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</si>
  <si>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</si>
  <si>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</si>
  <si>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</si>
  <si>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</si>
  <si>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</si>
  <si>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</si>
  <si>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</si>
  <si>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</si>
  <si>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</si>
  <si>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</si>
  <si>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</si>
  <si>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</si>
  <si>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</si>
  <si>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</si>
  <si>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</si>
  <si>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</si>
  <si>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</si>
  <si>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</si>
  <si>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</si>
  <si>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</si>
  <si>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</si>
  <si>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</si>
  <si>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</si>
  <si>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</si>
  <si>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</si>
  <si>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</si>
  <si>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</si>
  <si>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</si>
  <si>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</si>
  <si>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</si>
  <si>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</si>
  <si>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</si>
  <si>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</si>
  <si>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</si>
  <si>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</si>
  <si>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</si>
  <si>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</si>
  <si>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</si>
  <si>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</si>
  <si>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</si>
  <si>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</si>
  <si>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</si>
  <si>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</si>
  <si>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</si>
  <si>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</si>
  <si>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</si>
  <si>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</si>
  <si>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</si>
  <si>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</si>
  <si>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</si>
  <si>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</si>
  <si>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</si>
  <si>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</si>
  <si>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</si>
  <si>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</si>
  <si>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</si>
  <si>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</si>
  <si>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</si>
  <si>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</si>
  <si>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</si>
  <si>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</si>
  <si>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</si>
  <si>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</si>
  <si>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</si>
  <si>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</si>
  <si>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</si>
  <si>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</si>
  <si>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</si>
  <si>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</si>
  <si>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</si>
  <si>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</si>
  <si>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</si>
  <si>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</si>
  <si>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</si>
  <si>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</si>
  <si>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</si>
  <si>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</si>
  <si>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</si>
  <si>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</si>
  <si>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</si>
  <si>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</si>
  <si>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</si>
  <si>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</si>
  <si>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</si>
  <si>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</si>
  <si>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</si>
  <si>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</si>
  <si>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</si>
  <si>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</si>
  <si>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</si>
  <si>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</si>
  <si>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</si>
  <si>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</si>
  <si>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</si>
  <si>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</si>
  <si>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</si>
  <si>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</si>
  <si>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</si>
  <si>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</si>
  <si>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</si>
  <si>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</si>
  <si>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</si>
  <si>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</si>
  <si>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</si>
  <si>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</si>
  <si>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</si>
  <si>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</si>
  <si>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</si>
  <si>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</si>
  <si>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</si>
  <si>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</si>
  <si>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</si>
  <si>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</si>
  <si>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</si>
  <si>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</si>
  <si>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</si>
  <si>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</si>
  <si>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</si>
  <si>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</si>
  <si>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</si>
  <si>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</si>
  <si>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</si>
  <si>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</si>
  <si>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</si>
  <si>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</si>
  <si>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</si>
  <si>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</si>
  <si>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</si>
  <si>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</si>
  <si>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</si>
  <si>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</si>
  <si>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</si>
  <si>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</si>
  <si>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</si>
  <si>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</si>
  <si>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</si>
  <si>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</si>
  <si>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</si>
  <si>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</si>
  <si>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</si>
  <si>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</si>
  <si>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</si>
  <si>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</si>
  <si>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</si>
  <si>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</si>
  <si>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</si>
  <si>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</si>
  <si>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</si>
  <si>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</si>
  <si>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</si>
  <si>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</si>
  <si>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</si>
  <si>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</si>
  <si>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</si>
  <si>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</si>
  <si>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</si>
  <si>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</si>
  <si>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</si>
  <si>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</si>
  <si>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</si>
  <si>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</si>
  <si>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</si>
  <si>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</si>
  <si>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</si>
  <si>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</si>
  <si>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</si>
  <si>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</si>
  <si>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</si>
  <si>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</si>
  <si>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</si>
  <si>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</si>
  <si>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</si>
  <si>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</si>
  <si>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</si>
  <si>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</si>
  <si>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</si>
  <si>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</si>
  <si>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</si>
  <si>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</si>
  <si>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</si>
  <si>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</si>
  <si>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</si>
  <si>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</si>
  <si>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</si>
  <si>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</si>
  <si>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</si>
  <si>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</si>
  <si>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</si>
  <si>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</si>
  <si>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</si>
  <si>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</si>
  <si>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</si>
  <si>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</si>
  <si>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</si>
  <si>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</si>
  <si>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</si>
  <si>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</si>
  <si>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</si>
  <si>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</si>
  <si>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</si>
  <si>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</si>
  <si>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</si>
  <si>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</si>
  <si>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</si>
  <si>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</si>
  <si>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</si>
  <si>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</si>
  <si>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</si>
  <si>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</si>
  <si>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</si>
  <si>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</si>
  <si>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</si>
  <si>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</si>
  <si>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</si>
  <si>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</si>
  <si>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</si>
  <si>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</si>
  <si>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</si>
  <si>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</si>
  <si>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</si>
  <si>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</si>
  <si>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</si>
  <si>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</si>
  <si>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</si>
  <si>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</si>
  <si>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</si>
  <si>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</si>
  <si>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</si>
  <si>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</si>
  <si>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</si>
  <si>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</si>
  <si>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</si>
  <si>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</si>
  <si>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</si>
  <si>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</si>
  <si>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</si>
  <si>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</si>
  <si>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</si>
  <si>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</si>
  <si>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</si>
  <si>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</si>
  <si>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</si>
  <si>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</si>
  <si>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</si>
  <si>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</si>
  <si>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</si>
  <si>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</si>
  <si>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</si>
  <si>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</si>
  <si>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</si>
  <si>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</si>
  <si>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</si>
  <si>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</si>
  <si>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</si>
  <si>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</si>
  <si>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</si>
  <si>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</si>
  <si>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</si>
  <si>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</si>
  <si>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</si>
  <si>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</si>
  <si>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</si>
  <si>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</si>
  <si>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</si>
  <si>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</si>
  <si>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</si>
  <si>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</si>
  <si>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</si>
  <si>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</si>
  <si>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</si>
  <si>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</si>
  <si>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</si>
  <si>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</si>
  <si>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</si>
  <si>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</si>
  <si>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</si>
  <si>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</si>
  <si>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</si>
  <si>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</si>
  <si>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</si>
  <si>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</si>
  <si>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</si>
  <si>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</si>
  <si>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</si>
  <si>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</si>
  <si>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</si>
  <si>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</si>
  <si>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</si>
  <si>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</si>
  <si>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</si>
  <si>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</si>
  <si>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</si>
  <si>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</si>
  <si>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</si>
  <si>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</si>
  <si>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</si>
  <si>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</si>
  <si>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</si>
  <si>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</si>
  <si>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</si>
  <si>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</si>
  <si>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</si>
  <si>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</si>
  <si>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</si>
  <si>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</si>
  <si>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</si>
  <si>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</si>
  <si>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</si>
  <si>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</si>
  <si>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</si>
  <si>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</si>
  <si>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</si>
  <si>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</si>
  <si>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</si>
  <si>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</si>
  <si>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</si>
  <si>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</si>
  <si>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</si>
  <si>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</si>
  <si>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</si>
  <si>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</si>
  <si>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</si>
  <si>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</si>
  <si>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</si>
  <si>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</si>
  <si>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</si>
  <si>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</si>
  <si>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</si>
  <si>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</si>
  <si>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</si>
  <si>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</si>
  <si>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</si>
  <si>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</si>
  <si>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</si>
  <si>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</si>
  <si>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</si>
  <si>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</si>
  <si>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</si>
  <si>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</si>
  <si>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</si>
  <si>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</si>
  <si>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</si>
  <si>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</si>
  <si>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</si>
  <si>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</si>
  <si>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</si>
  <si>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</si>
  <si>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</si>
  <si>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</si>
  <si>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</si>
  <si>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</si>
  <si>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</si>
  <si>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</si>
  <si>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</si>
  <si>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</si>
  <si>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</si>
  <si>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</si>
  <si>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</si>
  <si>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</si>
  <si>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</si>
  <si>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</si>
  <si>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</si>
  <si>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</si>
  <si>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</si>
  <si>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</si>
  <si>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</si>
  <si>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</si>
  <si>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</si>
  <si>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</si>
  <si>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</si>
  <si>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</si>
  <si>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</si>
  <si>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</si>
  <si>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</si>
  <si>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</si>
  <si>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</si>
  <si>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</si>
  <si>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</si>
  <si>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</si>
  <si>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</si>
  <si>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</si>
  <si>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</si>
  <si>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</si>
  <si>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</si>
  <si>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</si>
  <si>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</si>
  <si>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</si>
  <si>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</si>
  <si>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</si>
  <si>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</si>
  <si>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</si>
  <si>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</si>
  <si>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</si>
  <si>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</si>
  <si>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</si>
  <si>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</si>
  <si>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</si>
  <si>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</si>
  <si>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</si>
  <si>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</si>
  <si>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</si>
  <si>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</si>
  <si>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</si>
  <si>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</si>
  <si>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</si>
  <si>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</si>
  <si>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</si>
  <si>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</si>
  <si>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</si>
  <si>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</si>
  <si>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</si>
  <si>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</si>
  <si>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</si>
  <si>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</si>
  <si>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</si>
  <si>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</si>
  <si>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</si>
  <si>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</si>
  <si>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</si>
  <si>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</si>
  <si>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</si>
  <si>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</si>
  <si>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</si>
  <si>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</si>
  <si>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</si>
  <si>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</si>
  <si>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</si>
  <si>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</si>
  <si>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</si>
  <si>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</si>
  <si>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</si>
  <si>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</si>
  <si>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</si>
  <si>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</si>
  <si>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</si>
  <si>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</si>
  <si>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</si>
  <si>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</si>
  <si>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</si>
  <si>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</si>
  <si>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</si>
  <si>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</si>
  <si>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</si>
  <si>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</si>
  <si>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</si>
  <si>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</si>
  <si>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</si>
  <si>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</si>
  <si>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</si>
  <si>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</si>
  <si>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</si>
  <si>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</si>
  <si>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</si>
  <si>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</si>
  <si>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</si>
  <si>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</si>
  <si>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</si>
  <si>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</si>
  <si>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</si>
  <si>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</si>
  <si>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</si>
  <si>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</si>
  <si>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</si>
  <si>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</si>
  <si>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</si>
  <si>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</si>
  <si>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</si>
  <si>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</si>
  <si>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</si>
  <si>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</si>
  <si>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</si>
  <si>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</si>
  <si>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</si>
  <si>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</si>
  <si>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</si>
  <si>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</si>
  <si>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</si>
  <si>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</si>
  <si>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</si>
  <si>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</si>
  <si>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</si>
  <si>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</si>
  <si>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</si>
  <si>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</si>
  <si>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</si>
  <si>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</si>
  <si>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</si>
  <si>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</si>
  <si>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</si>
  <si>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</si>
  <si>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</si>
  <si>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</si>
  <si>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</si>
  <si>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</si>
  <si>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</si>
  <si>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</si>
  <si>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</si>
  <si>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</si>
  <si>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</si>
  <si>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</si>
  <si>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</si>
  <si>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</si>
  <si>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</si>
  <si>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</si>
  <si>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</si>
  <si>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</si>
  <si>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</si>
  <si>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</si>
  <si>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</si>
  <si>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</si>
  <si>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</si>
  <si>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</si>
  <si>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</si>
  <si>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</si>
  <si>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</si>
  <si>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</si>
  <si>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</si>
  <si>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</si>
  <si>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</si>
  <si>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</si>
  <si>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</si>
  <si>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</si>
  <si>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</si>
  <si>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</si>
  <si>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</si>
  <si>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</si>
  <si>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</si>
  <si>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</si>
  <si>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</si>
  <si>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</si>
  <si>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</si>
  <si>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</si>
  <si>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</si>
  <si>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</si>
  <si>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</si>
  <si>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</si>
  <si>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</si>
  <si>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</si>
  <si>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</si>
  <si>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</si>
  <si>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</si>
  <si>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</si>
  <si>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</si>
  <si>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</si>
  <si>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</si>
  <si>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</si>
  <si>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</si>
  <si>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</si>
  <si>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</si>
  <si>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</si>
  <si>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</si>
  <si>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</si>
  <si>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</si>
  <si>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</si>
  <si>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</si>
  <si>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</si>
  <si>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</si>
  <si>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</si>
  <si>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</si>
  <si>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</si>
  <si>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</si>
  <si>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</si>
  <si>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</si>
  <si>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</si>
  <si>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</si>
  <si>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</si>
  <si>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</si>
  <si>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</si>
  <si>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</si>
  <si>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</si>
  <si>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</si>
  <si>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</si>
  <si>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</si>
  <si>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</si>
  <si>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</si>
  <si>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</si>
  <si>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</si>
  <si>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</si>
  <si>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</si>
  <si>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</si>
  <si>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</si>
  <si>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</si>
  <si>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</si>
  <si>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</si>
  <si>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</si>
  <si>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</si>
  <si>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</si>
  <si>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</si>
  <si>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</si>
  <si>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</si>
  <si>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</si>
  <si>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</si>
  <si>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</si>
  <si>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</si>
  <si>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</si>
  <si>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</si>
  <si>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</si>
  <si>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</si>
  <si>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</si>
  <si>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</si>
  <si>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</si>
  <si>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</si>
  <si>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</si>
  <si>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</si>
  <si>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</si>
  <si>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</si>
  <si>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</si>
  <si>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</si>
  <si>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</si>
  <si>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</si>
  <si>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</si>
  <si>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</si>
  <si>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</si>
  <si>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</si>
  <si>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</si>
  <si>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</si>
  <si>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</si>
  <si>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</si>
  <si>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</si>
  <si>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</si>
  <si>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</si>
  <si>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</si>
  <si>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</si>
  <si>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</si>
  <si>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</si>
  <si>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</si>
  <si>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</si>
  <si>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</si>
  <si>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</si>
  <si>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</si>
  <si>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</si>
  <si>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</si>
  <si>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</si>
  <si>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</si>
  <si>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</si>
  <si>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</si>
  <si>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</si>
  <si>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</si>
  <si>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</si>
  <si>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</si>
  <si>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</si>
  <si>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</si>
  <si>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</si>
  <si>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</si>
  <si>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</si>
  <si>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</si>
  <si>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</si>
  <si>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</si>
  <si>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</si>
  <si>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</si>
  <si>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</si>
  <si>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</si>
  <si>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</si>
  <si>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</si>
  <si>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</si>
  <si>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</si>
  <si>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</si>
  <si>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</si>
  <si>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</si>
  <si>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</si>
  <si>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</si>
  <si>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</si>
  <si>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</si>
  <si>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</si>
  <si>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</si>
  <si>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</si>
  <si>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</si>
  <si>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</si>
  <si>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</si>
  <si>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</si>
  <si>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</si>
  <si>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</si>
  <si>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</si>
  <si>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</si>
  <si>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</si>
  <si>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</si>
  <si>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</si>
  <si>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</si>
  <si>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</si>
  <si>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</si>
  <si>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</si>
  <si>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</si>
  <si>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</si>
  <si>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</si>
  <si>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</si>
  <si>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</si>
  <si>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</si>
  <si>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</si>
  <si>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</si>
  <si>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</si>
  <si>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</si>
  <si>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</si>
  <si>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</si>
  <si>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</si>
  <si>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</si>
  <si>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</si>
  <si>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</si>
  <si>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</si>
  <si>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</si>
  <si>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</si>
  <si>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</si>
  <si>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</si>
  <si>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</si>
  <si>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</si>
  <si>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</si>
  <si>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</si>
  <si>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</si>
  <si>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</si>
  <si>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</si>
  <si>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</si>
  <si>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</si>
  <si>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</si>
  <si>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</si>
  <si>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</si>
  <si>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</si>
  <si>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</si>
  <si>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</si>
  <si>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</si>
  <si>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</si>
  <si>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</si>
  <si>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</si>
  <si>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</si>
  <si>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</si>
  <si>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</si>
  <si>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</si>
  <si>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</si>
  <si>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</si>
  <si>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</si>
  <si>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</si>
  <si>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</si>
  <si>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</si>
  <si>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</si>
  <si>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</si>
  <si>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</si>
  <si>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</si>
  <si>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</si>
  <si>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</si>
  <si>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</si>
  <si>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</si>
  <si>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</si>
  <si>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</si>
  <si>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</si>
  <si>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</si>
  <si>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</si>
  <si>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</si>
  <si>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</si>
  <si>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</si>
  <si>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</si>
  <si>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</si>
  <si>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</si>
  <si>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</si>
  <si>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</si>
  <si>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</si>
  <si>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</si>
  <si>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</si>
  <si>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</si>
  <si>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</si>
  <si>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</si>
  <si>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</si>
  <si>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</si>
  <si>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</si>
  <si>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</si>
  <si>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</si>
  <si>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</si>
  <si>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</si>
  <si>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</si>
  <si>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</si>
  <si>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</si>
  <si>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</si>
  <si>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</si>
  <si>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</si>
  <si>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</si>
  <si>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</si>
  <si>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</si>
  <si>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</si>
  <si>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</si>
  <si>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</si>
  <si>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</si>
  <si>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</si>
  <si>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</si>
  <si>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</si>
  <si>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</si>
  <si>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</si>
  <si>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</si>
  <si>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</si>
  <si>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</si>
  <si>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</si>
  <si>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</si>
  <si>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</si>
  <si>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</si>
  <si>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</si>
  <si>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</si>
  <si>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</si>
  <si>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</si>
  <si>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</si>
  <si>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</si>
  <si>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</si>
  <si>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</si>
  <si>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</si>
  <si>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</si>
  <si>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</si>
  <si>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</si>
  <si>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</si>
  <si>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</si>
  <si>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</si>
  <si>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</si>
  <si>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</si>
  <si>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</si>
  <si>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</si>
  <si>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</si>
  <si>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</si>
  <si>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</si>
  <si>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</si>
  <si>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</si>
  <si>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</si>
  <si>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</si>
  <si>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</si>
  <si>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</si>
  <si>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</si>
  <si>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</si>
  <si>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</si>
  <si>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</si>
  <si>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</si>
  <si>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</si>
  <si>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</si>
  <si>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</si>
  <si>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</si>
  <si>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</si>
  <si>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</si>
  <si>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</si>
  <si>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</si>
  <si>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</si>
  <si>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</si>
  <si>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</si>
  <si>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</si>
  <si>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</si>
  <si>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</si>
  <si>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</si>
  <si>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</si>
  <si>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</si>
  <si>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</si>
  <si>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</si>
  <si>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</si>
  <si>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</si>
  <si>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</si>
  <si>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</si>
  <si>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</si>
  <si>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</si>
  <si>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</si>
  <si>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</si>
  <si>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</si>
  <si>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</si>
  <si>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</si>
  <si>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</si>
  <si>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</si>
  <si>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</si>
  <si>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</si>
  <si>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</si>
  <si>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</si>
  <si>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</si>
  <si>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</si>
  <si>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</si>
  <si>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</si>
  <si>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</si>
  <si>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</si>
  <si>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</si>
  <si>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</si>
  <si>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</si>
  <si>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</si>
  <si>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</si>
  <si>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</si>
  <si>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</si>
  <si>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</si>
  <si>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</si>
  <si>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</si>
  <si>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</si>
  <si>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</si>
  <si>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</si>
  <si>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</si>
  <si>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</si>
  <si>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</si>
  <si>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</si>
  <si>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</si>
  <si>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</si>
  <si>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</si>
  <si>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</si>
  <si>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</si>
  <si>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</si>
  <si>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</si>
  <si>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</si>
  <si>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</si>
  <si>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</si>
  <si>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</si>
  <si>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</si>
  <si>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</si>
  <si>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</si>
  <si>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</si>
  <si>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</si>
  <si>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</si>
  <si>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</si>
  <si>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</si>
  <si>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</si>
  <si>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</si>
  <si>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</si>
  <si>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</si>
  <si>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</si>
  <si>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</si>
  <si>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</si>
  <si>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</si>
  <si>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</si>
  <si>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</si>
  <si>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</si>
  <si>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</si>
  <si>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</si>
  <si>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</si>
  <si>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</si>
  <si>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</si>
  <si>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</si>
  <si>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</si>
  <si>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</si>
  <si>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</si>
  <si>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</si>
  <si>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</si>
  <si>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</si>
  <si>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</si>
  <si>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</si>
  <si>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</si>
  <si>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</si>
  <si>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</si>
  <si>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</si>
  <si>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</si>
  <si>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</si>
  <si>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</si>
  <si>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</si>
  <si>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</si>
  <si>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</si>
  <si>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</si>
  <si>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</si>
  <si>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</si>
  <si>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</si>
  <si>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</si>
  <si>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</si>
  <si>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</si>
  <si>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</si>
  <si>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</si>
  <si>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</si>
  <si>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</si>
  <si>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</si>
  <si>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</si>
  <si>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</si>
  <si>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</si>
  <si>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</si>
  <si>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</si>
  <si>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</si>
  <si>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</si>
  <si>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</si>
  <si>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</si>
  <si>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</si>
  <si>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</si>
  <si>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</si>
  <si>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</si>
  <si>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</si>
  <si>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</si>
  <si>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</si>
  <si>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</si>
  <si>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</si>
  <si>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</si>
  <si>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</si>
  <si>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</si>
  <si>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</si>
  <si>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</si>
  <si>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</si>
  <si>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</si>
  <si>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</si>
  <si>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</si>
  <si>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</si>
  <si>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</si>
  <si>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</si>
  <si>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</si>
  <si>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</si>
  <si>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</si>
  <si>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</si>
  <si>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</si>
  <si>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</si>
  <si>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</si>
  <si>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</si>
  <si>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</si>
  <si>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</si>
  <si>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</si>
  <si>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</si>
  <si>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</si>
  <si>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</si>
  <si>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</si>
  <si>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</si>
  <si>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</si>
  <si>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</si>
  <si>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</si>
  <si>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</si>
  <si>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</si>
  <si>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</si>
  <si>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</si>
  <si>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</si>
  <si>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</si>
  <si>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</si>
  <si>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</si>
  <si>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</si>
  <si>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</si>
  <si>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</si>
  <si>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</si>
  <si>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</si>
  <si>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</si>
  <si>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</si>
  <si>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</si>
  <si>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</si>
  <si>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</si>
  <si>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</si>
  <si>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</si>
  <si>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</si>
  <si>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</si>
  <si>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</si>
  <si>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</si>
  <si>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</si>
  <si>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</si>
  <si>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</si>
  <si>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</si>
  <si>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</si>
  <si>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</si>
  <si>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</si>
  <si>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</si>
  <si>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</si>
  <si>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</si>
  <si>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</si>
  <si>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</si>
  <si>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</si>
  <si>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</si>
  <si>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</si>
  <si>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</si>
  <si>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</si>
  <si>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</si>
  <si>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</si>
  <si>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</si>
  <si>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</si>
  <si>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</si>
  <si>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</si>
  <si>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</si>
  <si>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</si>
  <si>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</si>
  <si>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</si>
  <si>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</si>
  <si>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</si>
  <si>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</si>
  <si>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</si>
  <si>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</si>
  <si>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</si>
  <si>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</si>
  <si>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</si>
  <si>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</si>
  <si>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</si>
  <si>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</si>
  <si>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</si>
  <si>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</si>
  <si>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</si>
  <si>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</si>
  <si>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</si>
  <si>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</si>
  <si>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</si>
  <si>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</si>
  <si>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</si>
  <si>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</si>
  <si>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</si>
  <si>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</si>
  <si>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</si>
  <si>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</si>
  <si>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</si>
  <si>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</si>
  <si>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</si>
  <si>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</si>
  <si>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</si>
  <si>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</si>
  <si>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</si>
  <si>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</si>
  <si>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</si>
  <si>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</si>
  <si>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</si>
  <si>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</si>
  <si>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</si>
  <si>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</si>
  <si>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</si>
  <si>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</si>
  <si>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</si>
  <si>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</si>
  <si>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</si>
  <si>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</si>
  <si>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</si>
  <si>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</si>
  <si>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</si>
  <si>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</si>
  <si>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</si>
  <si>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</si>
  <si>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</si>
  <si>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</si>
  <si>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</si>
  <si>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</si>
  <si>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</si>
  <si>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</si>
  <si>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</si>
  <si>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</si>
  <si>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</si>
  <si>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</si>
  <si>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</si>
  <si>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</si>
  <si>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</si>
  <si>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</si>
  <si>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</si>
  <si>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</si>
  <si>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</si>
  <si>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</si>
  <si>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</si>
  <si>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</si>
  <si>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</si>
  <si>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</si>
  <si>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</si>
  <si>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</si>
  <si>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</si>
  <si>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</si>
  <si>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</si>
  <si>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</si>
  <si>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</si>
  <si>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</si>
  <si>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</si>
  <si>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</si>
  <si>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</si>
  <si>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</si>
  <si>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</si>
  <si>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</si>
  <si>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</si>
  <si>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</si>
  <si>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</si>
  <si>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</si>
  <si>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</si>
  <si>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</si>
  <si>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</si>
  <si>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</si>
  <si>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</si>
  <si>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</si>
  <si>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</si>
  <si>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</si>
  <si>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</si>
  <si>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</si>
  <si>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</si>
  <si>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</si>
  <si>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</si>
  <si>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</si>
  <si>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</si>
  <si>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</si>
  <si>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</si>
  <si>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</si>
  <si>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</si>
  <si>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</si>
  <si>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</si>
  <si>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</si>
  <si>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</si>
  <si>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</si>
  <si>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</si>
  <si>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</si>
  <si>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</si>
  <si>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</si>
  <si>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</si>
  <si>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</si>
  <si>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</si>
  <si>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</si>
  <si>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</si>
  <si>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</si>
  <si>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</si>
  <si>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</si>
  <si>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</si>
  <si>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</si>
  <si>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</si>
  <si>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</si>
  <si>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</si>
  <si>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</si>
  <si>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</si>
  <si>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</si>
  <si>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</si>
  <si>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</si>
  <si>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</si>
  <si>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</si>
  <si>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</si>
  <si>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</si>
  <si>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</si>
  <si>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</si>
  <si>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</si>
  <si>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</si>
  <si>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</si>
  <si>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</si>
  <si>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</si>
  <si>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</si>
  <si>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</si>
  <si>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</si>
  <si>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</si>
  <si>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</si>
  <si>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</si>
  <si>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</si>
  <si>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</si>
  <si>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</si>
  <si>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</si>
  <si>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</si>
  <si>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</si>
  <si>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</si>
  <si>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</si>
  <si>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</si>
  <si>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</si>
  <si>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</si>
  <si>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</si>
  <si>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</si>
  <si>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</si>
  <si>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</si>
  <si>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</si>
  <si>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</si>
  <si>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</si>
  <si>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</si>
  <si>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</si>
  <si>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</si>
  <si>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</si>
  <si>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</si>
  <si>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</si>
  <si>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</si>
  <si>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</si>
  <si>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</si>
  <si>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</si>
  <si>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</si>
  <si>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</si>
  <si>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</si>
  <si>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</si>
  <si>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</si>
  <si>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</si>
  <si>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</si>
  <si>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</si>
  <si>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</si>
  <si>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</si>
  <si>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</si>
  <si>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</si>
  <si>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</si>
  <si>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</si>
  <si>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</si>
  <si>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</si>
  <si>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</si>
  <si>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</si>
  <si>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</si>
  <si>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</si>
  <si>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</si>
  <si>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</si>
  <si>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</si>
  <si>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</si>
  <si>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</si>
  <si>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</si>
  <si>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</si>
  <si>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</si>
  <si>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</si>
  <si>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</si>
  <si>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</si>
  <si>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</si>
  <si>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</si>
  <si>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</si>
  <si>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</si>
  <si>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</si>
  <si>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</si>
  <si>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</si>
  <si>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</si>
  <si>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</si>
  <si>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</si>
  <si>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</si>
  <si>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</si>
  <si>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</si>
  <si>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</si>
  <si>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</si>
  <si>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</si>
  <si>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</si>
  <si>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</si>
  <si>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</si>
  <si>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</si>
  <si>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</si>
  <si>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</si>
  <si>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</si>
  <si>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</si>
  <si>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</si>
  <si>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</si>
  <si>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</si>
  <si>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</si>
  <si>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</si>
  <si>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</si>
  <si>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</si>
  <si>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</si>
  <si>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</si>
  <si>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</si>
  <si>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</si>
  <si>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</si>
  <si>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</si>
  <si>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</si>
  <si>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</si>
  <si>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</si>
  <si>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</si>
  <si>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</si>
  <si>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</si>
  <si>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</si>
  <si>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</si>
  <si>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</si>
  <si>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</si>
  <si>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</si>
  <si>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</si>
  <si>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</si>
  <si>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</si>
  <si>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</si>
  <si>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</si>
  <si>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</si>
  <si>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</si>
  <si>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</si>
  <si>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</si>
  <si>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</si>
  <si>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</si>
  <si>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</si>
  <si>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</si>
  <si>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</si>
  <si>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</si>
  <si>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</si>
  <si>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</si>
  <si>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</si>
  <si>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</si>
  <si>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</si>
  <si>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</si>
  <si>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</si>
  <si>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</si>
  <si>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</si>
  <si>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</si>
  <si>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</si>
  <si>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</si>
  <si>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</si>
  <si>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</si>
  <si>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</si>
  <si>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</si>
  <si>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</si>
  <si>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</si>
  <si>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</si>
  <si>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</si>
  <si>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</si>
  <si>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</si>
  <si>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</si>
  <si>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</si>
  <si>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</si>
  <si>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</si>
  <si>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</si>
  <si>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</si>
  <si>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</si>
  <si>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</si>
  <si>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</si>
  <si>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</si>
  <si>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</si>
  <si>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</si>
  <si>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</si>
  <si>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</si>
  <si>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</si>
  <si>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</si>
  <si>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</si>
  <si>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</si>
  <si>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</si>
  <si>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</si>
  <si>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</si>
  <si>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</si>
  <si>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</si>
  <si>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</si>
  <si>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</si>
  <si>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</si>
  <si>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</si>
  <si>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</si>
  <si>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</si>
  <si>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</si>
  <si>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</si>
  <si>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</si>
  <si>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</si>
  <si>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</si>
  <si>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</si>
  <si>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</si>
  <si>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</si>
  <si>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</si>
  <si>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</si>
  <si>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</si>
  <si>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</si>
  <si>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</si>
  <si>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</si>
  <si>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</si>
  <si>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</si>
  <si>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</si>
  <si>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</si>
  <si>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</si>
  <si>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</si>
  <si>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</si>
  <si>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</si>
  <si>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</si>
  <si>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</si>
  <si>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</si>
  <si>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</si>
  <si>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</si>
  <si>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</si>
  <si>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</si>
  <si>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</si>
  <si>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</si>
  <si>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</si>
  <si>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</si>
  <si>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</si>
  <si>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</si>
  <si>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</si>
  <si>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</si>
  <si>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</si>
  <si>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</si>
  <si>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</si>
  <si>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</si>
  <si>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</si>
  <si>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</si>
  <si>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</si>
  <si>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</si>
  <si>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</si>
  <si>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</si>
  <si>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</si>
  <si>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</si>
  <si>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</si>
  <si>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</si>
  <si>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</si>
  <si>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</si>
  <si>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</si>
  <si>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</si>
  <si>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</si>
  <si>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</si>
  <si>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</si>
  <si>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</si>
  <si>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</si>
  <si>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</si>
  <si>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</si>
  <si>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</si>
  <si>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</si>
  <si>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</si>
  <si>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</si>
  <si>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</si>
  <si>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</si>
  <si>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</si>
  <si>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</si>
  <si>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</si>
  <si>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</si>
  <si>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</si>
  <si>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</si>
  <si>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</si>
  <si>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</si>
  <si>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</si>
  <si>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</si>
  <si>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</si>
  <si>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</si>
  <si>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</si>
  <si>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</si>
  <si>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</si>
  <si>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</si>
  <si>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</si>
  <si>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</si>
  <si>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</si>
  <si>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</si>
  <si>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</si>
  <si>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</si>
  <si>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</si>
  <si>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</si>
  <si>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</si>
  <si>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</si>
  <si>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</si>
  <si>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</si>
  <si>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</si>
  <si>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</si>
  <si>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</si>
  <si>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</si>
  <si>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</si>
  <si>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</si>
  <si>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</si>
  <si>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</si>
  <si>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</si>
  <si>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</si>
  <si>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</si>
  <si>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</si>
  <si>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</si>
  <si>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</si>
  <si>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</si>
  <si>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</si>
  <si>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</si>
  <si>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</si>
  <si>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</si>
  <si>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</si>
  <si>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</si>
  <si>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</si>
  <si>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</si>
  <si>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</si>
  <si>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</si>
  <si>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</si>
  <si>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</si>
  <si>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</si>
  <si>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</si>
  <si>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</si>
  <si>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</si>
  <si>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</si>
  <si>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</si>
  <si>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</si>
  <si>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</si>
  <si>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</si>
  <si>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</si>
  <si>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</si>
  <si>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</si>
  <si>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</si>
  <si>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</si>
  <si>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</si>
  <si>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</si>
  <si>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</si>
  <si>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</si>
  <si>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</si>
  <si>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</si>
  <si>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</si>
  <si>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</si>
  <si>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</si>
  <si>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</si>
  <si>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</si>
  <si>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</si>
  <si>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</si>
  <si>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</si>
  <si>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</si>
  <si>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</si>
  <si>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</si>
  <si>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</si>
  <si>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</si>
  <si>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</si>
  <si>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</si>
  <si>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</si>
  <si>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</si>
  <si>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</si>
  <si>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</si>
  <si>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</si>
  <si>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</si>
  <si>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</si>
  <si>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</si>
  <si>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</si>
  <si>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</si>
  <si>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</si>
  <si>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</si>
  <si>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</si>
  <si>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</si>
  <si>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</si>
  <si>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</si>
  <si>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</si>
  <si>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</si>
  <si>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</si>
  <si>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</si>
  <si>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</si>
  <si>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</si>
  <si>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</si>
  <si>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</si>
  <si>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</si>
  <si>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</si>
  <si>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</si>
  <si>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</si>
  <si>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</si>
  <si>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</si>
  <si>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</si>
  <si>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</si>
  <si>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</si>
  <si>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</si>
  <si>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</si>
  <si>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</si>
  <si>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</si>
  <si>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</si>
  <si>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</si>
  <si>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</si>
  <si>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</si>
  <si>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</si>
  <si>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</si>
  <si>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</si>
  <si>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</si>
  <si>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</si>
  <si>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</si>
  <si>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</si>
  <si>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</si>
  <si>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</si>
  <si>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</si>
  <si>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</si>
  <si>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</si>
  <si>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</si>
  <si>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</si>
  <si>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</si>
  <si>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</si>
  <si>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</si>
  <si>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</si>
  <si>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</si>
  <si>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</si>
  <si>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</si>
  <si>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</si>
  <si>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</si>
  <si>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</si>
  <si>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</si>
  <si>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</si>
  <si>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</si>
  <si>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</si>
  <si>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</si>
  <si>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</si>
  <si>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</si>
  <si>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</si>
  <si>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</si>
  <si>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</si>
  <si>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</si>
  <si>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</si>
  <si>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</si>
  <si>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</si>
  <si>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</si>
  <si>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</si>
  <si>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</si>
  <si>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</si>
  <si>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</si>
  <si>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</si>
  <si>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</si>
  <si>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</si>
  <si>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</si>
  <si>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</si>
  <si>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</si>
  <si>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</si>
  <si>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</si>
  <si>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</si>
  <si>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</si>
  <si>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</si>
  <si>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</si>
  <si>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</si>
  <si>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</si>
  <si>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</si>
  <si>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</si>
  <si>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</si>
  <si>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</si>
  <si>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</si>
  <si>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</si>
  <si>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</si>
  <si>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</si>
  <si>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</si>
  <si>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</si>
  <si>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</si>
  <si>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</si>
  <si>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</si>
  <si>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</si>
  <si>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</si>
  <si>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</si>
  <si>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</si>
  <si>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</si>
  <si>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</si>
  <si>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</si>
  <si>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</si>
  <si>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</si>
  <si>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</si>
  <si>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</si>
  <si>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</si>
  <si>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</si>
  <si>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</si>
  <si>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</si>
  <si>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</si>
  <si>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</si>
  <si>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</si>
  <si>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</si>
  <si>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</si>
  <si>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</si>
  <si>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</si>
  <si>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</si>
  <si>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</si>
  <si>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</si>
  <si>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</si>
  <si>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</si>
  <si>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</si>
  <si>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</si>
  <si>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</si>
  <si>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</si>
  <si>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</si>
  <si>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</si>
  <si>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</si>
  <si>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</si>
  <si>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</si>
  <si>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</si>
  <si>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</si>
  <si>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</si>
  <si>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</si>
  <si>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</si>
  <si>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</si>
  <si>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</si>
  <si>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</si>
  <si>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</si>
  <si>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</si>
  <si>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</si>
  <si>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</si>
  <si>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</si>
  <si>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</si>
  <si>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</si>
  <si>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</si>
  <si>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</si>
  <si>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</si>
  <si>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</si>
  <si>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</si>
  <si>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</si>
  <si>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</si>
  <si>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</si>
  <si>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</si>
  <si>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</si>
  <si>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</si>
  <si>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</si>
  <si>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</si>
  <si>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</si>
  <si>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</si>
  <si>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</si>
  <si>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</si>
  <si>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</si>
  <si>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</si>
  <si>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</si>
  <si>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</si>
  <si>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</si>
  <si>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</si>
  <si>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</si>
  <si>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</si>
  <si>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</si>
  <si>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</si>
  <si>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</si>
  <si>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</si>
  <si>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</si>
  <si>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</si>
  <si>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</si>
  <si>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</si>
  <si>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</si>
  <si>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</si>
  <si>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</si>
  <si>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</si>
  <si>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</si>
  <si>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</si>
  <si>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</si>
  <si>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</si>
  <si>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</si>
  <si>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</si>
  <si>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</si>
  <si>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</si>
  <si>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</si>
  <si>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</si>
  <si>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</si>
  <si>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</si>
  <si>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</si>
  <si>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</si>
  <si>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</si>
  <si>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</si>
  <si>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</si>
  <si>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</si>
  <si>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</si>
  <si>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</si>
  <si>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</si>
  <si>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</si>
  <si>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</si>
  <si>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</si>
  <si>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</si>
  <si>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</si>
  <si>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</si>
  <si>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</si>
  <si>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</si>
  <si>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</si>
  <si>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</si>
  <si>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</si>
  <si>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</si>
  <si>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</si>
  <si>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</si>
  <si>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</si>
  <si>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</si>
  <si>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</si>
  <si>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</si>
  <si>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</si>
  <si>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</si>
  <si>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</si>
  <si>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</si>
  <si>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</si>
  <si>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</si>
  <si>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</si>
  <si>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</si>
  <si>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</si>
  <si>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</si>
  <si>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</si>
  <si>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</si>
  <si>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</si>
  <si>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</si>
  <si>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</si>
  <si>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</si>
  <si>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</si>
  <si>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</si>
  <si>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</si>
  <si>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</si>
  <si>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</si>
  <si>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</si>
  <si>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</si>
  <si>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</si>
  <si>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</si>
  <si>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</si>
  <si>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</si>
  <si>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</si>
  <si>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</si>
  <si>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</si>
  <si>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</si>
  <si>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</si>
  <si>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</si>
  <si>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</si>
  <si>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</si>
  <si>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</si>
  <si>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</si>
  <si>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</si>
  <si>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</si>
  <si>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</si>
  <si>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</si>
  <si>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</si>
  <si>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</si>
  <si>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</si>
  <si>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</si>
  <si>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</si>
  <si>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</si>
  <si>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</si>
  <si>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</si>
  <si>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</si>
  <si>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</si>
  <si>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</si>
  <si>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</si>
  <si>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</si>
  <si>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</si>
  <si>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</si>
  <si>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</si>
  <si>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</si>
  <si>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</si>
  <si>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</si>
  <si>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</si>
  <si>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</si>
  <si>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</si>
  <si>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</si>
  <si>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</si>
  <si>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</si>
  <si>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</si>
  <si>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</si>
  <si>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</si>
  <si>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</si>
  <si>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</si>
  <si>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</si>
  <si>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</si>
  <si>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</si>
  <si>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</si>
  <si>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</si>
  <si>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</si>
  <si>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</si>
  <si>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</si>
  <si>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</si>
  <si>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</si>
  <si>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</si>
  <si>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</si>
  <si>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</si>
  <si>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</si>
  <si>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</si>
  <si>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</si>
  <si>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</si>
  <si>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</si>
  <si>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</si>
  <si>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</si>
  <si>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</si>
  <si>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</si>
  <si>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</si>
  <si>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</si>
  <si>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</si>
  <si>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</si>
  <si>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</si>
  <si>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</si>
  <si>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</si>
  <si>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</si>
  <si>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</si>
  <si>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</si>
  <si>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</si>
  <si>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</si>
  <si>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</si>
  <si>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</si>
  <si>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</si>
  <si>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</si>
  <si>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</si>
  <si>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</si>
  <si>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</si>
  <si>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</si>
  <si>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</si>
  <si>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</si>
  <si>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</si>
  <si>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</si>
  <si>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</si>
  <si>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</si>
  <si>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</si>
  <si>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</si>
  <si>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</si>
  <si>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</si>
  <si>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</si>
  <si>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</si>
  <si>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</si>
  <si>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</si>
  <si>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</si>
  <si>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</si>
  <si>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</si>
  <si>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</si>
  <si>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</si>
  <si>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</si>
  <si>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</si>
  <si>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</si>
  <si>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</si>
  <si>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</si>
  <si>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</si>
  <si>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</si>
  <si>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</si>
  <si>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</si>
  <si>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</si>
  <si>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</si>
  <si>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</si>
  <si>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</si>
  <si>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</si>
  <si>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</si>
  <si>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</si>
  <si>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</si>
  <si>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</si>
  <si>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</si>
  <si>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</si>
  <si>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</si>
  <si>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</si>
  <si>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</si>
  <si>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</si>
  <si>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</si>
  <si>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</si>
  <si>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</si>
  <si>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</si>
  <si>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</si>
  <si>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</si>
  <si>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</si>
  <si>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</si>
  <si>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</si>
  <si>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</si>
  <si>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</si>
  <si>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</si>
  <si>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</si>
  <si>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</si>
  <si>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</si>
  <si>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</si>
  <si>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</si>
  <si>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</si>
  <si>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</si>
  <si>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</si>
  <si>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</si>
  <si>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</si>
  <si>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</si>
  <si>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</si>
  <si>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</si>
  <si>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</si>
  <si>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</si>
  <si>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</si>
  <si>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</si>
  <si>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</si>
  <si>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</si>
  <si>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</si>
  <si>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</si>
  <si>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</si>
  <si>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</si>
  <si>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</si>
  <si>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</si>
  <si>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</si>
  <si>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</si>
  <si>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</si>
  <si>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</si>
  <si>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</si>
  <si>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</si>
  <si>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</si>
  <si>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</si>
  <si>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</si>
  <si>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</si>
  <si>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</si>
  <si>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</si>
  <si>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</si>
  <si>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</si>
  <si>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</si>
  <si>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</si>
  <si>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</si>
  <si>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</si>
  <si>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</si>
  <si>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</si>
  <si>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</si>
  <si>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</si>
  <si>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</si>
  <si>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</si>
  <si>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</si>
  <si>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</si>
  <si>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</si>
  <si>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</si>
  <si>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</si>
  <si>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</si>
  <si>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</si>
  <si>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</si>
  <si>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</si>
  <si>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</si>
  <si>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</si>
  <si>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</si>
  <si>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</si>
  <si>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</si>
  <si>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</si>
  <si>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</si>
  <si>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</si>
  <si>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</si>
  <si>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</si>
  <si>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</si>
  <si>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</si>
  <si>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</si>
  <si>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</si>
  <si>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</si>
  <si>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</si>
  <si>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</si>
  <si>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</si>
  <si>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</si>
  <si>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</si>
  <si>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</si>
  <si>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</si>
  <si>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</si>
  <si>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</si>
  <si>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</si>
  <si>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</si>
  <si>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</si>
  <si>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</si>
  <si>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</si>
  <si>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</si>
  <si>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</si>
  <si>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</si>
  <si>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</si>
  <si>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</si>
  <si>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</si>
  <si>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</si>
  <si>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</si>
  <si>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</si>
  <si>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</si>
  <si>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</si>
  <si>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</si>
  <si>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</si>
  <si>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</si>
  <si>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</si>
  <si>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</si>
  <si>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</si>
  <si>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</si>
  <si>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</si>
  <si>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</si>
  <si>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</si>
  <si>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</si>
  <si>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</si>
  <si>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</si>
  <si>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</si>
  <si>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</si>
  <si>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</si>
  <si>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</si>
  <si>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</si>
  <si>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</si>
  <si>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</si>
  <si>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</si>
  <si>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</si>
  <si>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</si>
  <si>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</si>
  <si>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</si>
  <si>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</si>
  <si>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</si>
  <si>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</si>
  <si>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</si>
  <si>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</si>
  <si>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</si>
  <si>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</si>
  <si>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</si>
  <si>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</si>
  <si>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</si>
  <si>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</si>
  <si>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</si>
  <si>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</si>
  <si>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</si>
  <si>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</si>
  <si>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</si>
  <si>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</si>
  <si>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</si>
  <si>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</si>
  <si>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</si>
  <si>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</si>
  <si>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</si>
  <si>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</si>
  <si>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</si>
  <si>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</si>
  <si>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</si>
  <si>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</si>
  <si>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</si>
  <si>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</si>
  <si>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</si>
  <si>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</si>
  <si>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</si>
  <si>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</si>
  <si>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</si>
  <si>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</si>
  <si>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</si>
  <si>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</si>
  <si>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</si>
  <si>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</si>
  <si>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</si>
  <si>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</si>
  <si>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</si>
  <si>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</si>
  <si>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</si>
  <si>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</si>
  <si>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</si>
  <si>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</si>
  <si>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</si>
  <si>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</si>
  <si>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</si>
  <si>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</si>
  <si>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</si>
  <si>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</si>
  <si>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</si>
  <si>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</si>
  <si>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</si>
  <si>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</si>
  <si>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</si>
  <si>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</si>
  <si>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</si>
  <si>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</si>
  <si>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</si>
  <si>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</si>
  <si>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</si>
  <si>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</si>
  <si>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</si>
  <si>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</si>
  <si>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</si>
  <si>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</si>
  <si>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</si>
  <si>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</si>
  <si>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</si>
  <si>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</si>
  <si>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</si>
  <si>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</si>
  <si>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</si>
  <si>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</si>
  <si>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</si>
  <si>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</si>
  <si>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</si>
  <si>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</si>
  <si>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</si>
  <si>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</si>
  <si>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</si>
  <si>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</si>
  <si>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</si>
  <si>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</si>
  <si>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</si>
  <si>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</si>
  <si>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</si>
  <si>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</si>
  <si>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</si>
  <si>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</si>
  <si>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</si>
  <si>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</si>
  <si>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</si>
  <si>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</si>
  <si>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</si>
  <si>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</si>
  <si>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</si>
  <si>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</si>
  <si>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</si>
  <si>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</si>
  <si>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</si>
  <si>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</si>
  <si>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</si>
  <si>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</si>
  <si>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</si>
  <si>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</si>
  <si>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</si>
  <si>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</si>
  <si>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</si>
  <si>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</si>
  <si>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</si>
  <si>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</si>
  <si>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</si>
  <si>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</si>
  <si>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</si>
  <si>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</si>
  <si>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</si>
  <si>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</si>
  <si>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</si>
  <si>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</si>
  <si>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</si>
  <si>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</si>
  <si>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</si>
  <si>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</si>
  <si>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</si>
  <si>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</si>
  <si>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</si>
  <si>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</si>
  <si>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</si>
  <si>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</si>
  <si>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</si>
  <si>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</si>
  <si>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</si>
  <si>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</si>
  <si>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</si>
  <si>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</si>
  <si>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</si>
  <si>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</si>
  <si>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</si>
  <si>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</si>
  <si>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</si>
  <si>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</si>
  <si>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</si>
  <si>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</si>
  <si>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</si>
  <si>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</si>
  <si>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</si>
  <si>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</si>
  <si>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</si>
  <si>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</si>
  <si>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</si>
  <si>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</si>
  <si>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</si>
  <si>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</si>
  <si>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</si>
  <si>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</si>
  <si>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</si>
  <si>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</si>
  <si>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</si>
  <si>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</si>
  <si>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</si>
  <si>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</si>
  <si>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</si>
  <si>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</si>
  <si>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</si>
  <si>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</si>
  <si>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</si>
  <si>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</si>
  <si>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</si>
  <si>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</si>
  <si>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</si>
  <si>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</si>
  <si>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</si>
  <si>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</si>
  <si>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</si>
  <si>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</si>
  <si>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</si>
  <si>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</si>
  <si>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</si>
  <si>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</si>
  <si>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</si>
  <si>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</si>
  <si>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</si>
  <si>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</si>
  <si>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</si>
  <si>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</si>
  <si>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</si>
  <si>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</si>
  <si>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</si>
  <si>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</si>
  <si>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</si>
  <si>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</si>
  <si>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</si>
  <si>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</si>
  <si>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</si>
  <si>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</si>
  <si>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</si>
  <si>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</si>
  <si>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</si>
  <si>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</si>
  <si>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</si>
  <si>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</si>
  <si>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</si>
  <si>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</si>
  <si>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</si>
  <si>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</si>
  <si>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</si>
  <si>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</si>
  <si>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</si>
  <si>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</si>
  <si>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</si>
  <si>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</si>
  <si>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</si>
  <si>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</si>
  <si>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</si>
  <si>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</si>
  <si>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</si>
  <si>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</si>
  <si>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</si>
  <si>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</si>
  <si>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</si>
  <si>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</si>
  <si>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</si>
  <si>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</si>
  <si>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</si>
  <si>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</si>
  <si>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</si>
  <si>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</si>
  <si>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</si>
  <si>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</si>
  <si>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</si>
  <si>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</si>
  <si>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</si>
  <si>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</si>
  <si>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</si>
  <si>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</si>
  <si>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</si>
  <si>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</si>
  <si>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</si>
  <si>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</si>
  <si>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</si>
  <si>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</si>
  <si>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</si>
  <si>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</si>
  <si>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</si>
  <si>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</si>
  <si>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</si>
  <si>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</si>
  <si>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</si>
  <si>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</si>
  <si>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</si>
  <si>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</si>
  <si>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</si>
  <si>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</si>
  <si>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</si>
  <si>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</si>
  <si>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</si>
  <si>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</si>
  <si>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</si>
  <si>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</si>
  <si>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</si>
  <si>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</si>
  <si>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</si>
  <si>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</si>
  <si>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</si>
  <si>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</si>
  <si>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</si>
  <si>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</si>
  <si>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</si>
  <si>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</si>
  <si>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</si>
  <si>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</si>
  <si>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</si>
  <si>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</si>
  <si>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</si>
  <si>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</si>
  <si>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</si>
  <si>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</si>
  <si>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</si>
  <si>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</si>
  <si>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</si>
  <si>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</si>
  <si>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</si>
  <si>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</si>
  <si>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</si>
  <si>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</si>
  <si>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</si>
  <si>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</si>
  <si>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</si>
  <si>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</si>
  <si>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</si>
  <si>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</si>
  <si>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</si>
  <si>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</si>
  <si>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</si>
  <si>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</si>
  <si>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</si>
  <si>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</si>
  <si>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</si>
  <si>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</si>
  <si>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</si>
  <si>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</si>
  <si>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</si>
  <si>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</si>
  <si>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</si>
  <si>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</si>
  <si>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</si>
  <si>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</si>
  <si>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</si>
  <si>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</si>
  <si>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</si>
  <si>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</si>
  <si>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</si>
  <si>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</si>
  <si>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</si>
  <si>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</si>
  <si>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</si>
  <si>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</si>
  <si>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</si>
  <si>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</si>
  <si>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</si>
  <si>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</si>
  <si>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</si>
  <si>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</si>
  <si>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</si>
  <si>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</si>
  <si>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</si>
  <si>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</si>
  <si>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</si>
  <si>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</si>
  <si>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</si>
  <si>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</si>
  <si>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</si>
  <si>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</si>
  <si>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</si>
  <si>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</si>
  <si>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</si>
  <si>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</si>
  <si>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</si>
  <si>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</si>
  <si>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</si>
  <si>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</si>
  <si>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</si>
  <si>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</si>
  <si>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</si>
  <si>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</si>
  <si>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</si>
  <si>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</si>
  <si>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</si>
  <si>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</si>
  <si>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</si>
  <si>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</si>
  <si>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</si>
  <si>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</si>
  <si>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</si>
  <si>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</si>
  <si>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</si>
  <si>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</si>
  <si>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</si>
  <si>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</si>
  <si>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</si>
  <si>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</si>
  <si>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</si>
  <si>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</si>
  <si>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</si>
  <si>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</si>
  <si>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</si>
  <si>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</si>
  <si>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</si>
  <si>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</si>
  <si>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</si>
  <si>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</si>
  <si>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</si>
  <si>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</si>
  <si>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</si>
  <si>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</si>
  <si>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</si>
  <si>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</si>
  <si>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</si>
  <si>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</si>
  <si>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</si>
  <si>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</si>
  <si>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</si>
  <si>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</si>
  <si>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</si>
  <si>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</si>
  <si>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</si>
  <si>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</si>
  <si>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</si>
  <si>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</si>
  <si>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</si>
  <si>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</si>
  <si>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</si>
  <si>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</si>
  <si>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</si>
  <si>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</si>
  <si>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</si>
  <si>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</si>
  <si>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</si>
  <si>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</si>
  <si>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</si>
  <si>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</si>
  <si>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</si>
  <si>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</si>
  <si>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</si>
  <si>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</si>
  <si>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</si>
  <si>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</si>
  <si>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</si>
  <si>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</si>
  <si>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</si>
  <si>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</si>
  <si>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</si>
  <si>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</si>
  <si>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</si>
  <si>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</si>
  <si>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</si>
  <si>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</si>
  <si>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</si>
  <si>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</si>
  <si>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</si>
  <si>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</si>
  <si>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</si>
  <si>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</si>
  <si>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</si>
  <si>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</si>
  <si>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</si>
  <si>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</si>
  <si>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</si>
  <si>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</si>
  <si>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</si>
  <si>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</si>
  <si>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</si>
  <si>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</si>
  <si>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</si>
  <si>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</si>
  <si>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</si>
  <si>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</si>
  <si>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</si>
  <si>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</si>
  <si>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</si>
  <si>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</si>
  <si>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</si>
  <si>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</si>
  <si>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</si>
  <si>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</si>
  <si>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</si>
  <si>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</si>
  <si>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</si>
  <si>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</si>
  <si>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</si>
  <si>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</si>
  <si>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</si>
  <si>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</si>
  <si>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</si>
  <si>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</si>
  <si>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</si>
  <si>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</si>
  <si>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</si>
  <si>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</si>
  <si>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</si>
  <si>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</si>
  <si>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</si>
  <si>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</si>
  <si>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</si>
  <si>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</si>
  <si>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</si>
  <si>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</si>
  <si>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</si>
  <si>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</si>
  <si>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</si>
  <si>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</si>
  <si>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</si>
  <si>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</si>
  <si>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</si>
  <si>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</si>
  <si>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</si>
  <si>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</si>
  <si>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</si>
  <si>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</si>
  <si>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</si>
  <si>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</si>
  <si>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</si>
  <si>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</si>
  <si>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</si>
  <si>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</si>
  <si>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</si>
  <si>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</si>
  <si>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</si>
  <si>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</si>
  <si>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</si>
  <si>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</si>
  <si>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</si>
  <si>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</si>
  <si>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</si>
  <si>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</si>
  <si>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</si>
  <si>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</si>
  <si>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</si>
  <si>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</si>
  <si>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</si>
  <si>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</si>
  <si>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</si>
  <si>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</si>
  <si>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</si>
  <si>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</si>
  <si>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</si>
  <si>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</si>
  <si>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</si>
  <si>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</si>
  <si>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</si>
  <si>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</si>
  <si>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</si>
  <si>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</si>
  <si>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</si>
  <si>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</si>
  <si>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</si>
  <si>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</si>
  <si>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</si>
  <si>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</si>
  <si>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</si>
  <si>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</si>
  <si>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</si>
  <si>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</si>
  <si>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</si>
  <si>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</si>
  <si>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</si>
  <si>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</si>
  <si>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</si>
  <si>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</si>
  <si>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</si>
  <si>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</si>
  <si>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</si>
  <si>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</si>
  <si>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</si>
  <si>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</si>
  <si>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</si>
  <si>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</si>
  <si>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</si>
  <si>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</si>
  <si>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</si>
  <si>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</si>
  <si>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</si>
  <si>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</si>
  <si>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</si>
  <si>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</si>
  <si>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</si>
  <si>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</si>
  <si>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</si>
  <si>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</si>
  <si>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</si>
  <si>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</si>
  <si>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</si>
  <si>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</si>
  <si>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</si>
  <si>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</si>
  <si>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</si>
  <si>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</si>
  <si>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</si>
  <si>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</si>
  <si>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</si>
  <si>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</si>
  <si>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</si>
  <si>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</si>
  <si>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</si>
  <si>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</si>
  <si>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</si>
  <si>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</si>
  <si>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</si>
  <si>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</si>
  <si>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</si>
  <si>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</si>
  <si>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</si>
  <si>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</si>
  <si>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</si>
  <si>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</si>
  <si>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</si>
  <si>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</si>
  <si>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</si>
  <si>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</si>
  <si>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</si>
  <si>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</si>
  <si>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</si>
  <si>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</si>
  <si>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</si>
  <si>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</si>
  <si>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</si>
  <si>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</si>
  <si>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</si>
  <si>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</si>
  <si>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</si>
  <si>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</si>
  <si>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</si>
  <si>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</si>
  <si>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</si>
  <si>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</si>
  <si>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</si>
  <si>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</si>
  <si>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</si>
  <si>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</si>
  <si>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</si>
  <si>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</si>
  <si>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</si>
  <si>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</si>
  <si>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</si>
  <si>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</si>
  <si>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</si>
  <si>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</si>
  <si>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</si>
  <si>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</si>
  <si>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</si>
  <si>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</si>
  <si>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</si>
  <si>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</si>
  <si>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</si>
  <si>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</si>
  <si>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</si>
  <si>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</si>
  <si>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</si>
  <si>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</si>
  <si>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</si>
  <si>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</si>
  <si>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</si>
  <si>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</si>
  <si>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</si>
  <si>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</si>
  <si>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</si>
  <si>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</si>
  <si>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</si>
  <si>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</si>
  <si>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</si>
  <si>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</si>
  <si>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</si>
  <si>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</si>
  <si>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</si>
  <si>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</si>
  <si>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</si>
  <si>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</si>
  <si>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</si>
  <si>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</si>
  <si>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</si>
  <si>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</si>
  <si>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</si>
  <si>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</si>
  <si>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</si>
  <si>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</si>
  <si>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</si>
  <si>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</si>
  <si>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</si>
  <si>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</si>
  <si>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</si>
  <si>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</si>
  <si>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</si>
  <si>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</si>
  <si>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</si>
  <si>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</si>
  <si>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</si>
  <si>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</si>
  <si>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</si>
  <si>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</si>
  <si>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</si>
  <si>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</si>
  <si>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</si>
  <si>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</si>
  <si>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</si>
  <si>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</si>
  <si>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</si>
  <si>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</si>
  <si>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</si>
  <si>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</si>
  <si>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</si>
  <si>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</si>
  <si>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</si>
  <si>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</si>
  <si>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</si>
  <si>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</si>
  <si>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</si>
  <si>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</si>
  <si>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</si>
  <si>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</si>
  <si>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</si>
  <si>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</si>
  <si>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</si>
  <si>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</si>
  <si>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</si>
  <si>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</si>
  <si>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</si>
  <si>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</si>
  <si>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</si>
  <si>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</si>
  <si>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</si>
  <si>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</si>
  <si>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</si>
  <si>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</si>
  <si>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</si>
  <si>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</si>
  <si>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</si>
  <si>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</si>
  <si>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</si>
  <si>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</si>
  <si>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</si>
  <si>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</si>
  <si>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</si>
  <si>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</si>
  <si>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</si>
  <si>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</si>
  <si>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</si>
  <si>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</si>
  <si>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</si>
  <si>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</si>
  <si>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</si>
  <si>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</si>
  <si>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</si>
  <si>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</si>
  <si>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</si>
  <si>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</si>
  <si>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</si>
  <si>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</si>
  <si>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</si>
  <si>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</si>
  <si>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</si>
  <si>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</si>
  <si>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</si>
  <si>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</si>
  <si>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</si>
  <si>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</si>
  <si>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</si>
  <si>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</si>
  <si>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</si>
  <si>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</si>
  <si>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</si>
  <si>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</si>
  <si>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</si>
  <si>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</si>
  <si>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</si>
  <si>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</si>
  <si>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</si>
  <si>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</si>
  <si>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</si>
  <si>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</si>
  <si>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</si>
  <si>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</si>
  <si>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</si>
  <si>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</si>
  <si>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</si>
  <si>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</si>
  <si>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</si>
  <si>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</si>
  <si>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</si>
  <si>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</si>
  <si>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</si>
  <si>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</si>
  <si>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</si>
  <si>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</si>
  <si>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</si>
  <si>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</si>
  <si>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</si>
  <si>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</si>
  <si>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</si>
  <si>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</si>
  <si>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</si>
  <si>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</si>
  <si>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</si>
  <si>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</si>
  <si>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</si>
  <si>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</si>
  <si>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</si>
  <si>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</si>
  <si>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</si>
  <si>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</si>
  <si>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</si>
  <si>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</si>
  <si>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</si>
  <si>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</si>
  <si>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</si>
  <si>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</si>
  <si>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</si>
  <si>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</si>
  <si>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</si>
  <si>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</si>
  <si>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</si>
  <si>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</si>
  <si>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</si>
  <si>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</si>
  <si>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</si>
  <si>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</si>
  <si>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</si>
  <si>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</si>
  <si>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</si>
  <si>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</si>
  <si>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</si>
  <si>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</si>
  <si>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</si>
  <si>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</si>
  <si>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</si>
  <si>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</si>
  <si>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</si>
  <si>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</si>
  <si>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</si>
  <si>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</si>
  <si>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</si>
  <si>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</si>
  <si>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</si>
  <si>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</si>
  <si>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</si>
  <si>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</si>
  <si>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</si>
  <si>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</si>
  <si>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</si>
  <si>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</si>
  <si>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</si>
  <si>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</si>
  <si>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</si>
  <si>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</si>
  <si>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</si>
  <si>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</si>
  <si>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</si>
  <si>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</si>
  <si>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</si>
  <si>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</si>
  <si>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</si>
  <si>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</si>
  <si>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</si>
  <si>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</si>
  <si>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</si>
  <si>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</si>
  <si>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</si>
  <si>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</si>
  <si>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</si>
  <si>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</si>
  <si>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</si>
  <si>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</si>
  <si>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</si>
  <si>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</si>
  <si>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</si>
  <si>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</si>
  <si>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</si>
  <si>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</si>
  <si>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</si>
  <si>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</si>
  <si>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</si>
  <si>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</si>
  <si>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</si>
  <si>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</si>
  <si>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</si>
  <si>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</si>
  <si>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</si>
  <si>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</si>
  <si>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</si>
  <si>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</si>
  <si>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</si>
  <si>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</si>
  <si>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</si>
  <si>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</si>
  <si>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</si>
  <si>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</si>
  <si>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</si>
  <si>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</si>
  <si>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</si>
  <si>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</si>
  <si>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</si>
  <si>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</si>
  <si>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</si>
  <si>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</si>
  <si>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</si>
  <si>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</si>
  <si>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</si>
  <si>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</si>
  <si>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</si>
  <si>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</si>
  <si>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</si>
  <si>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</si>
  <si>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</si>
  <si>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</si>
  <si>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</si>
  <si>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</si>
  <si>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</si>
  <si>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</si>
  <si>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</si>
  <si>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</si>
  <si>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</si>
  <si>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</si>
  <si>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</si>
  <si>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</si>
  <si>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</si>
  <si>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</si>
  <si>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</si>
  <si>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</si>
  <si>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</si>
  <si>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</si>
  <si>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</si>
  <si>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</si>
  <si>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</si>
  <si>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</si>
  <si>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</si>
  <si>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</si>
  <si>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</si>
  <si>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</si>
  <si>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</si>
  <si>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</si>
  <si>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</si>
  <si>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</si>
  <si>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</si>
  <si>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</si>
  <si>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</si>
  <si>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</si>
  <si>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</si>
  <si>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</si>
  <si>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</si>
  <si>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</si>
  <si>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</si>
  <si>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</si>
  <si>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</si>
  <si>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</si>
  <si>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</si>
  <si>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</si>
  <si>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</si>
  <si>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</si>
  <si>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</si>
  <si>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</si>
  <si>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</si>
  <si>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</si>
  <si>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</si>
  <si>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</si>
  <si>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</si>
  <si>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</si>
  <si>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</si>
  <si>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</si>
  <si>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</si>
  <si>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</si>
  <si>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</si>
  <si>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</si>
  <si>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</si>
  <si>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</si>
  <si>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</si>
  <si>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</si>
  <si>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</si>
  <si>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</si>
  <si>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</si>
  <si>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</si>
  <si>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</si>
  <si>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</si>
  <si>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</si>
  <si>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</si>
  <si>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</si>
  <si>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</si>
  <si>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</si>
  <si>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</si>
  <si>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</si>
  <si>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</si>
  <si>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</si>
  <si>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</si>
  <si>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</si>
  <si>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</si>
  <si>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</si>
  <si>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</si>
  <si>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</si>
  <si>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</si>
  <si>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</si>
  <si>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</si>
  <si>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</si>
  <si>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</si>
  <si>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</si>
  <si>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</si>
  <si>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</si>
  <si>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</si>
  <si>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</si>
  <si>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</si>
  <si>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</si>
  <si>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</si>
  <si>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</si>
  <si>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</si>
  <si>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</si>
  <si>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</si>
  <si>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</si>
  <si>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</si>
  <si>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</si>
  <si>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</si>
  <si>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</si>
  <si>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</si>
  <si>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</si>
  <si>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</si>
  <si>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</si>
  <si>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</si>
  <si>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</si>
  <si>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</si>
  <si>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</si>
  <si>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</si>
  <si>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</si>
  <si>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</si>
  <si>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</si>
  <si>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</si>
  <si>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</si>
  <si>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</si>
  <si>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</si>
  <si>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</si>
  <si>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</si>
  <si>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</si>
  <si>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</si>
  <si>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</si>
  <si>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</si>
  <si>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</si>
  <si>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</si>
  <si>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</si>
  <si>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</si>
  <si>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</si>
  <si>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</si>
  <si>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</si>
  <si>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</si>
  <si>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</si>
  <si>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</si>
  <si>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</si>
  <si>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</si>
  <si>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</si>
  <si>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</si>
  <si>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</si>
  <si>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</si>
  <si>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</si>
  <si>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</si>
  <si>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</si>
  <si>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</si>
  <si>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</si>
  <si>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</si>
  <si>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</si>
  <si>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</si>
  <si>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</si>
  <si>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</si>
  <si>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</si>
  <si>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</si>
  <si>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</si>
  <si>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</si>
  <si>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</si>
  <si>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</si>
  <si>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</si>
  <si>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</si>
  <si>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</si>
  <si>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</si>
  <si>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</si>
  <si>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</si>
  <si>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</si>
  <si>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</si>
  <si>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</si>
  <si>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</si>
  <si>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</si>
  <si>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</si>
  <si>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</si>
  <si>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</si>
  <si>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</si>
  <si>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</si>
  <si>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</si>
  <si>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</si>
  <si>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</si>
  <si>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</si>
  <si>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</si>
  <si>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</si>
  <si>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</si>
  <si>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</si>
  <si>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</si>
  <si>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</si>
  <si>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</si>
  <si>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</si>
  <si>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</si>
  <si>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</si>
  <si>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</si>
  <si>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</si>
  <si>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</si>
  <si>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</si>
  <si>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</si>
  <si>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</si>
  <si>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</si>
  <si>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</si>
  <si>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</si>
  <si>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</si>
  <si>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</si>
  <si>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</si>
  <si>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</si>
  <si>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</si>
  <si>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</si>
  <si>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</si>
  <si>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</si>
  <si>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</si>
  <si>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</si>
  <si>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</si>
  <si>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</si>
  <si>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</si>
  <si>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</si>
  <si>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</si>
  <si>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</si>
  <si>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</si>
  <si>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</si>
  <si>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</si>
  <si>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</si>
  <si>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</si>
  <si>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</si>
  <si>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</si>
  <si>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</si>
  <si>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</si>
  <si>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</si>
  <si>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</si>
  <si>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</si>
  <si>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</si>
  <si>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</si>
  <si>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</si>
  <si>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</si>
  <si>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</si>
  <si>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</si>
  <si>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</si>
  <si>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</si>
  <si>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</si>
  <si>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</si>
  <si>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</si>
  <si>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</si>
  <si>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</si>
  <si>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</si>
  <si>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</si>
  <si>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</si>
  <si>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</si>
  <si>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</si>
  <si>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</si>
  <si>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</si>
  <si>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</si>
  <si>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</si>
  <si>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</si>
  <si>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</si>
  <si>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</si>
  <si>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</si>
  <si>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</si>
  <si>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</si>
  <si>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</si>
  <si>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</si>
  <si>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</si>
  <si>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</si>
  <si>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</si>
  <si>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</si>
  <si>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</si>
  <si>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</si>
  <si>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</si>
  <si>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</si>
  <si>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</si>
  <si>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</si>
  <si>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</si>
  <si>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</si>
  <si>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</si>
  <si>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</si>
  <si>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</si>
  <si>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</si>
  <si>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</si>
  <si>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</si>
  <si>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</si>
  <si>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</si>
  <si>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</si>
  <si>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</si>
  <si>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</si>
  <si>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</si>
  <si>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</si>
  <si>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</si>
  <si>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</si>
  <si>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</si>
  <si>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</si>
  <si>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</si>
  <si>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</si>
  <si>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</si>
  <si>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</si>
  <si>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</si>
  <si>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</si>
  <si>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</si>
  <si>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</si>
  <si>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</si>
  <si>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</si>
  <si>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</si>
  <si>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</si>
  <si>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</si>
  <si>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</si>
  <si>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</si>
  <si>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</si>
  <si>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</si>
  <si>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</si>
  <si>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</si>
  <si>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</si>
  <si>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</si>
  <si>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</si>
  <si>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</si>
  <si>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</si>
  <si>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</si>
  <si>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</si>
  <si>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</si>
  <si>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</si>
  <si>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</si>
  <si>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</si>
  <si>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</si>
  <si>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</si>
  <si>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</si>
  <si>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</si>
  <si>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</si>
  <si>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</si>
  <si>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</si>
  <si>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</si>
  <si>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</si>
  <si>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</si>
  <si>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</si>
  <si>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</si>
  <si>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</si>
  <si>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</si>
  <si>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</si>
  <si>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</si>
  <si>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</si>
  <si>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</si>
  <si>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</si>
  <si>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</si>
  <si>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</si>
  <si>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</si>
  <si>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</si>
  <si>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</si>
  <si>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</si>
  <si>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</si>
  <si>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</si>
  <si>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</si>
  <si>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</si>
  <si>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</si>
  <si>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</si>
  <si>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</si>
  <si>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</si>
  <si>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</si>
  <si>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</si>
  <si>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</si>
  <si>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</si>
  <si>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</si>
  <si>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</si>
  <si>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</si>
  <si>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</si>
  <si>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</si>
  <si>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</si>
  <si>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</si>
  <si>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</si>
  <si>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</si>
  <si>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</si>
  <si>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</si>
  <si>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</si>
  <si>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</si>
  <si>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</si>
  <si>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</si>
  <si>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</si>
  <si>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</si>
  <si>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</si>
  <si>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</si>
  <si>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</si>
  <si>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</si>
  <si>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</si>
  <si>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</si>
  <si>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</si>
  <si>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</si>
  <si>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</si>
  <si>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</si>
  <si>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</si>
  <si>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</si>
  <si>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</si>
  <si>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</si>
  <si>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</si>
  <si>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</si>
  <si>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</si>
  <si>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</si>
  <si>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</si>
  <si>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</si>
  <si>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</si>
  <si>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</si>
  <si>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</si>
  <si>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</si>
  <si>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</si>
  <si>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</si>
  <si>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</si>
  <si>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</si>
  <si>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</si>
  <si>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</si>
  <si>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</si>
  <si>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</si>
  <si>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</si>
  <si>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</si>
  <si>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</si>
  <si>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</si>
  <si>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</si>
  <si>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</si>
  <si>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</si>
  <si>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</si>
  <si>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</si>
  <si>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</si>
  <si>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</si>
  <si>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</si>
  <si>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</si>
  <si>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</si>
  <si>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</si>
  <si>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</si>
  <si>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</si>
  <si>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</si>
  <si>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</si>
  <si>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</si>
  <si>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</si>
  <si>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</si>
  <si>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</si>
  <si>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</si>
  <si>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</si>
  <si>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</si>
  <si>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</si>
  <si>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</si>
  <si>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</si>
  <si>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</si>
  <si>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</si>
  <si>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</si>
  <si>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</si>
  <si>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</si>
  <si>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</si>
  <si>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</si>
  <si>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</si>
  <si>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</si>
  <si>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</si>
  <si>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</si>
  <si>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</si>
  <si>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</si>
  <si>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</si>
  <si>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</si>
  <si>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</si>
  <si>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</si>
  <si>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</si>
  <si>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</si>
  <si>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</si>
  <si>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</si>
  <si>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</si>
  <si>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</si>
  <si>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</si>
  <si>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</si>
  <si>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</si>
  <si>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</si>
  <si>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</si>
  <si>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</si>
  <si>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</si>
  <si>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</si>
  <si>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</si>
  <si>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</si>
  <si>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</si>
  <si>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</si>
  <si>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</si>
  <si>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</si>
  <si>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</si>
  <si>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</si>
  <si>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</si>
  <si>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</si>
  <si>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</si>
  <si>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</si>
  <si>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</si>
  <si>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</si>
  <si>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</si>
  <si>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</si>
  <si>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</si>
  <si>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</si>
  <si>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</si>
  <si>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</si>
  <si>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</si>
  <si>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</si>
  <si>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</si>
  <si>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</si>
  <si>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</si>
  <si>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</si>
  <si>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</si>
  <si>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</si>
  <si>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</si>
  <si>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</si>
  <si>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</si>
  <si>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</si>
  <si>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</si>
  <si>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</si>
  <si>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</si>
  <si>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</si>
  <si>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</si>
  <si>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</si>
  <si>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</si>
  <si>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</si>
  <si>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</si>
  <si>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</si>
  <si>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</si>
  <si>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</si>
  <si>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</si>
  <si>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</si>
  <si>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</si>
  <si>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</si>
  <si>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</si>
  <si>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</si>
  <si>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</si>
  <si>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</si>
  <si>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</si>
  <si>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</si>
  <si>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</si>
  <si>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</si>
  <si>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</si>
  <si>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</si>
  <si>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</si>
  <si>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</si>
  <si>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</si>
  <si>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</si>
  <si>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</si>
  <si>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</si>
  <si>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</si>
  <si>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</si>
  <si>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</si>
  <si>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</si>
  <si>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</si>
  <si>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</si>
  <si>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</si>
  <si>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</si>
  <si>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</si>
  <si>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</si>
  <si>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</si>
  <si>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</si>
  <si>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</si>
  <si>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</si>
  <si>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</si>
  <si>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</si>
  <si>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</si>
  <si>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</si>
  <si>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</si>
  <si>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</si>
  <si>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</si>
  <si>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</si>
  <si>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</si>
  <si>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</si>
  <si>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</si>
  <si>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</si>
  <si>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</si>
  <si>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</si>
  <si>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</si>
  <si>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</si>
  <si>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</si>
  <si>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</si>
  <si>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</si>
  <si>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</si>
  <si>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</si>
  <si>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</si>
  <si>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</si>
  <si>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</si>
  <si>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</si>
  <si>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</si>
  <si>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</si>
  <si>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</si>
  <si>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</si>
  <si>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</si>
  <si>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</si>
  <si>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</si>
  <si>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</si>
  <si>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</si>
  <si>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</si>
  <si>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</si>
  <si>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</si>
  <si>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</si>
  <si>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</si>
  <si>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</si>
  <si>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</si>
  <si>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</si>
  <si>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</si>
  <si>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</si>
  <si>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</si>
  <si>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</si>
  <si>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</si>
  <si>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</si>
  <si>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</si>
  <si>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</si>
  <si>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</si>
  <si>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</si>
  <si>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</si>
  <si>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</si>
  <si>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</si>
  <si>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</si>
  <si>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</si>
  <si>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</si>
  <si>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</si>
  <si>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</si>
  <si>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</si>
  <si>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</si>
  <si>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</si>
  <si>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</si>
  <si>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</si>
  <si>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</si>
  <si>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</si>
  <si>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</si>
  <si>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</si>
  <si>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</si>
  <si>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</si>
  <si>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</si>
  <si>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</si>
  <si>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</si>
  <si>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</si>
  <si>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</si>
  <si>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</si>
  <si>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</si>
  <si>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</si>
  <si>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</si>
  <si>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</si>
  <si>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</si>
  <si>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</si>
  <si>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</si>
  <si>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</si>
  <si>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</si>
  <si>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</si>
  <si>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</si>
  <si>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</si>
  <si>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</si>
  <si>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</si>
  <si>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</si>
  <si>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</si>
  <si>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</si>
  <si>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</si>
  <si>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</si>
  <si>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</si>
  <si>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</si>
  <si>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</si>
  <si>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</si>
  <si>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</si>
  <si>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</si>
  <si>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</si>
  <si>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</si>
  <si>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</si>
  <si>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</si>
  <si>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</si>
  <si>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</si>
  <si>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</si>
  <si>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</si>
  <si>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</si>
  <si>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</si>
  <si>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</si>
  <si>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</si>
  <si>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</si>
  <si>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</si>
  <si>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</si>
  <si>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</si>
  <si>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</si>
  <si>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</si>
  <si>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</si>
  <si>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</si>
  <si>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</si>
  <si>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</si>
  <si>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</si>
  <si>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</si>
  <si>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</si>
  <si>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</si>
  <si>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</si>
  <si>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</si>
  <si>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</si>
  <si>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</si>
  <si>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</si>
  <si>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</si>
  <si>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</si>
  <si>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</si>
  <si>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</si>
  <si>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</si>
  <si>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</si>
  <si>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</si>
  <si>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</si>
  <si>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</si>
  <si>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</si>
  <si>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</si>
  <si>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</si>
  <si>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</si>
  <si>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</si>
  <si>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</si>
  <si>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</si>
  <si>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</si>
  <si>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</si>
  <si>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</si>
  <si>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</si>
  <si>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</si>
  <si>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</si>
  <si>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</si>
  <si>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</si>
  <si>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</si>
  <si>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</si>
  <si>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</si>
  <si>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</si>
  <si>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</si>
  <si>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</si>
  <si>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</si>
  <si>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</si>
  <si>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</si>
  <si>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</si>
  <si>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</si>
  <si>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</si>
  <si>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</si>
  <si>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</si>
  <si>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</si>
  <si>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</si>
  <si>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</si>
  <si>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</si>
  <si>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</si>
  <si>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</si>
  <si>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</si>
  <si>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</si>
  <si>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</si>
  <si>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</si>
  <si>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</si>
  <si>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</si>
  <si>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</si>
  <si>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</si>
  <si>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</si>
  <si>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</si>
  <si>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</si>
  <si>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</si>
  <si>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</si>
  <si>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</si>
  <si>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</si>
  <si>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</si>
  <si>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</si>
  <si>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</si>
  <si>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</si>
  <si>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</si>
  <si>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</si>
  <si>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</si>
  <si>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</si>
  <si>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</si>
  <si>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</si>
  <si>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</si>
  <si>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</si>
  <si>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</si>
  <si>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</si>
  <si>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</si>
  <si>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</si>
  <si>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</si>
  <si>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</si>
  <si>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</si>
  <si>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</si>
  <si>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</si>
  <si>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</si>
  <si>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</si>
  <si>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</si>
  <si>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</si>
  <si>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</si>
  <si>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</si>
  <si>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</si>
  <si>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</si>
  <si>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</si>
  <si>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</si>
  <si>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</si>
  <si>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</si>
  <si>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</si>
  <si>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</si>
  <si>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</si>
  <si>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</si>
  <si>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</si>
  <si>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</si>
  <si>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</si>
  <si>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</si>
  <si>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</si>
  <si>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</si>
  <si>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</si>
  <si>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</si>
  <si>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</si>
  <si>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</si>
  <si>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</si>
  <si>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</si>
  <si>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</si>
  <si>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</si>
  <si>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</si>
  <si>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</si>
  <si>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</si>
  <si>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</si>
  <si>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</si>
  <si>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</si>
  <si>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</si>
  <si>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</si>
  <si>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</si>
  <si>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</si>
  <si>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</si>
  <si>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</si>
  <si>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</si>
  <si>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</si>
  <si>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</si>
  <si>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</si>
  <si>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</si>
  <si>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</si>
  <si>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</si>
  <si>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</si>
  <si>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</si>
  <si>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</si>
  <si>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</si>
  <si>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</si>
  <si>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</si>
  <si>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</si>
  <si>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</si>
  <si>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</si>
  <si>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</si>
  <si>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</si>
  <si>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</si>
  <si>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</si>
  <si>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</si>
  <si>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</si>
  <si>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</si>
  <si>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</si>
  <si>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</si>
  <si>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</si>
  <si>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</si>
  <si>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</si>
  <si>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</si>
  <si>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</si>
  <si>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</si>
  <si>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</si>
  <si>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</si>
  <si>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</si>
  <si>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</si>
  <si>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</si>
  <si>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</si>
  <si>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</si>
  <si>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</si>
  <si>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</si>
  <si>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</si>
  <si>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</si>
  <si>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</si>
  <si>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</si>
  <si>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</si>
  <si>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</si>
  <si>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</si>
  <si>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</si>
  <si>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</si>
  <si>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</si>
  <si>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</si>
  <si>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</si>
  <si>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</si>
  <si>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</si>
  <si>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</si>
  <si>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</si>
  <si>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</si>
  <si>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</si>
  <si>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</si>
  <si>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</si>
  <si>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</si>
  <si>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</si>
  <si>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</si>
  <si>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</si>
  <si>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</si>
  <si>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</si>
  <si>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</si>
  <si>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</si>
  <si>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</si>
  <si>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</si>
  <si>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</si>
  <si>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</si>
  <si>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</si>
  <si>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</si>
  <si>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</si>
  <si>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</si>
  <si>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</si>
  <si>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</si>
  <si>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</si>
  <si>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</si>
  <si>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</si>
  <si>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</si>
  <si>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</si>
  <si>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</si>
  <si>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</si>
  <si>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</si>
  <si>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</si>
  <si>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</si>
  <si>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</si>
  <si>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</si>
  <si>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</si>
  <si>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</si>
  <si>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</si>
  <si>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</si>
  <si>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</si>
  <si>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</si>
  <si>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</si>
  <si>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</si>
  <si>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</si>
  <si>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</si>
  <si>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</si>
  <si>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</si>
  <si>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</si>
  <si>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</si>
  <si>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</si>
  <si>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</si>
  <si>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</si>
  <si>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</si>
  <si>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</si>
  <si>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</si>
  <si>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</si>
  <si>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</si>
  <si>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</si>
  <si>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</si>
  <si>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</si>
  <si>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</si>
  <si>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</si>
  <si>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</si>
  <si>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</si>
  <si>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</si>
  <si>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</si>
  <si>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</si>
  <si>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</si>
  <si>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</si>
  <si>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</si>
  <si>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</si>
  <si>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</si>
  <si>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</si>
  <si>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</si>
  <si>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</si>
  <si>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</si>
  <si>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</si>
  <si>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</si>
  <si>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</si>
  <si>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</si>
  <si>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</si>
  <si>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</si>
  <si>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</si>
  <si>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</si>
  <si>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</si>
  <si>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</si>
  <si>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</si>
  <si>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</si>
  <si>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</si>
  <si>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</si>
  <si>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</si>
  <si>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</si>
  <si>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</si>
  <si>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</si>
  <si>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</si>
  <si>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</si>
  <si>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</si>
  <si>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</si>
  <si>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</si>
  <si>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</si>
  <si>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</si>
  <si>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</si>
  <si>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</si>
  <si>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</si>
  <si>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</si>
  <si>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</si>
  <si>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</si>
  <si>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</si>
  <si>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</si>
  <si>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</si>
  <si>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</si>
  <si>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</si>
  <si>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</si>
  <si>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</si>
  <si>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</si>
  <si>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</si>
  <si>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</si>
  <si>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</si>
  <si>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</si>
  <si>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</si>
  <si>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</si>
  <si>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</si>
  <si>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</si>
  <si>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</si>
  <si>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</si>
  <si>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</si>
  <si>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</si>
  <si>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</si>
  <si>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</si>
  <si>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</si>
  <si>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</si>
  <si>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</si>
  <si>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</si>
  <si>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</si>
  <si>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</si>
  <si>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</si>
  <si>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</si>
  <si>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</si>
  <si>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</si>
  <si>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</si>
  <si>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</si>
  <si>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</si>
  <si>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</si>
  <si>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</si>
  <si>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</si>
  <si>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</si>
  <si>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</si>
  <si>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</si>
  <si>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</si>
  <si>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</si>
  <si>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</si>
  <si>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</si>
  <si>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</si>
  <si>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</si>
  <si>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</si>
  <si>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</si>
  <si>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</si>
  <si>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</si>
  <si>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</si>
  <si>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</si>
  <si>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</si>
  <si>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</si>
  <si>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</si>
  <si>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</si>
  <si>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</si>
  <si>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</si>
  <si>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</si>
  <si>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</si>
  <si>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</si>
  <si>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</si>
  <si>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</si>
  <si>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</si>
  <si>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</si>
  <si>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</si>
  <si>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</si>
  <si>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</si>
  <si>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</si>
  <si>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</si>
  <si>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</si>
  <si>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</si>
  <si>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</si>
  <si>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</si>
  <si>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</si>
  <si>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</si>
  <si>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</si>
  <si>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</si>
  <si>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</si>
  <si>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</si>
  <si>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</si>
  <si>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</si>
  <si>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</si>
  <si>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</si>
  <si>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</si>
  <si>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</si>
  <si>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</si>
  <si>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</si>
  <si>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</si>
  <si>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</si>
  <si>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</si>
  <si>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</si>
  <si>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</si>
  <si>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</si>
  <si>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</si>
  <si>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</si>
  <si>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</si>
  <si>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</si>
  <si>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</si>
  <si>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</si>
  <si>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</si>
  <si>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</si>
  <si>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</si>
  <si>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</si>
  <si>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</si>
  <si>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</si>
  <si>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</si>
  <si>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</si>
  <si>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</si>
  <si>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</si>
  <si>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</si>
  <si>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</si>
  <si>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</si>
  <si>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</si>
  <si>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</si>
  <si>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</si>
  <si>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</si>
  <si>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</si>
  <si>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</si>
  <si>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</si>
  <si>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</si>
  <si>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</si>
  <si>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</si>
  <si>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</si>
  <si>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</si>
  <si>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</si>
  <si>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</si>
  <si>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</si>
  <si>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</si>
  <si>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</si>
  <si>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</si>
  <si>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</si>
  <si>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</si>
  <si>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</si>
  <si>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</si>
  <si>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</si>
  <si>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</si>
  <si>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</si>
  <si>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</si>
  <si>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</si>
  <si>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</si>
  <si>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</si>
  <si>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</si>
  <si>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</si>
  <si>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</si>
  <si>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</si>
  <si>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</si>
  <si>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</si>
  <si>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</si>
  <si>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</si>
  <si>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</si>
  <si>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</si>
  <si>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</si>
  <si>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</si>
  <si>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</si>
  <si>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</si>
  <si>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</si>
  <si>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</si>
  <si>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</si>
  <si>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</si>
  <si>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</si>
  <si>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</si>
  <si>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</si>
  <si>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</si>
  <si>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</si>
  <si>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</si>
  <si>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</si>
  <si>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</si>
  <si>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</si>
  <si>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</si>
  <si>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</si>
  <si>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</si>
  <si>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</si>
  <si>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</si>
  <si>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</si>
  <si>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</si>
  <si>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</si>
  <si>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</si>
  <si>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</si>
  <si>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</si>
  <si>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</si>
  <si>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</si>
  <si>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</si>
  <si>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</si>
  <si>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</si>
  <si>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</si>
  <si>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</si>
  <si>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</si>
  <si>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</si>
  <si>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</si>
  <si>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</si>
  <si>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</si>
  <si>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</si>
  <si>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</si>
  <si>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</si>
  <si>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</si>
  <si>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</si>
  <si>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</si>
  <si>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</si>
  <si>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</si>
  <si>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</si>
  <si>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</si>
  <si>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</si>
  <si>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</si>
  <si>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</si>
  <si>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</si>
  <si>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</si>
  <si>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</si>
  <si>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</si>
  <si>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</si>
  <si>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</si>
  <si>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</si>
  <si>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</si>
  <si>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</si>
  <si>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</si>
  <si>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</si>
  <si>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</si>
  <si>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</si>
  <si>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</si>
  <si>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</si>
  <si>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</si>
  <si>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</si>
  <si>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</si>
  <si>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</si>
  <si>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</si>
  <si>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</si>
  <si>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</si>
  <si>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</si>
  <si>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</si>
  <si>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</si>
  <si>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</si>
  <si>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</si>
  <si>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</si>
  <si>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</si>
  <si>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</si>
  <si>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</si>
  <si>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</si>
  <si>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</si>
  <si>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</si>
  <si>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</si>
  <si>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</si>
  <si>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</si>
  <si>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</si>
  <si>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</si>
  <si>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</si>
  <si>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</si>
  <si>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</si>
  <si>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</si>
  <si>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</si>
  <si>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</si>
  <si>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</si>
  <si>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</si>
  <si>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</si>
  <si>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</si>
  <si>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</si>
  <si>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</si>
  <si>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</si>
  <si>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</si>
  <si>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</si>
  <si>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</si>
  <si>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</si>
  <si>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</si>
  <si>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</si>
  <si>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</si>
  <si>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</si>
  <si>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</si>
  <si>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</si>
  <si>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</si>
  <si>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</si>
  <si>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</si>
  <si>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</si>
  <si>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</si>
  <si>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</si>
  <si>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</si>
  <si>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</si>
  <si>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</si>
  <si>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</si>
  <si>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</si>
  <si>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</si>
  <si>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</si>
  <si>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</si>
  <si>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</si>
  <si>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</si>
  <si>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</si>
  <si>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</si>
  <si>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</si>
  <si>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</si>
  <si>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</si>
  <si>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</si>
  <si>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</si>
  <si>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</si>
  <si>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</si>
  <si>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</si>
  <si>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</si>
  <si>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</si>
  <si>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</si>
  <si>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</si>
  <si>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</si>
  <si>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</si>
  <si>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</si>
  <si>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</si>
  <si>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</si>
  <si>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</si>
  <si>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</si>
  <si>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</si>
  <si>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</si>
  <si>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</si>
  <si>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</si>
  <si>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</si>
  <si>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</si>
  <si>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</si>
  <si>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</si>
  <si>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</si>
  <si>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</si>
  <si>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</si>
  <si>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</si>
  <si>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</si>
  <si>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</si>
  <si>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</si>
  <si>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</si>
  <si>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</si>
  <si>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</si>
  <si>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</si>
  <si>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</si>
  <si>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</si>
  <si>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</si>
  <si>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</si>
  <si>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</si>
  <si>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</si>
  <si>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</si>
  <si>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</si>
  <si>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</si>
  <si>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</si>
  <si>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</si>
  <si>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</si>
  <si>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</si>
  <si>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</si>
  <si>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</si>
  <si>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</si>
  <si>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</si>
  <si>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</si>
  <si>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</si>
  <si>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</si>
  <si>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</si>
  <si>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</si>
  <si>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</si>
  <si>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</si>
  <si>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</si>
  <si>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</si>
  <si>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</si>
  <si>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</si>
  <si>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</si>
  <si>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</si>
  <si>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</si>
  <si>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</si>
  <si>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</si>
  <si>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</si>
  <si>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</si>
  <si>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</si>
  <si>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</si>
  <si>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</si>
  <si>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</si>
  <si>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</si>
  <si>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</si>
  <si>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</si>
  <si>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</si>
  <si>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</si>
  <si>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</si>
  <si>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</si>
  <si>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</si>
  <si>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</si>
  <si>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</si>
  <si>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</si>
  <si>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</si>
  <si>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</si>
  <si>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</si>
  <si>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</si>
  <si>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</si>
  <si>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</si>
  <si>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</si>
  <si>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</si>
  <si>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</si>
  <si>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</si>
  <si>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</si>
  <si>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</si>
  <si>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</si>
  <si>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</si>
  <si>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</si>
  <si>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</si>
  <si>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</si>
  <si>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</si>
  <si>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</si>
  <si>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</si>
  <si>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</si>
  <si>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</si>
  <si>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</si>
  <si>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</si>
  <si>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</si>
  <si>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</si>
  <si>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</si>
  <si>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</si>
  <si>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</si>
  <si>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</si>
  <si>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</si>
  <si>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</si>
  <si>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</si>
  <si>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</si>
  <si>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</si>
  <si>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</si>
  <si>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</si>
  <si>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</si>
  <si>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</si>
  <si>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</si>
  <si>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</si>
  <si>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</si>
  <si>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</si>
  <si>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</si>
  <si>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</si>
  <si>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</si>
  <si>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</si>
  <si>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</si>
  <si>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</si>
  <si>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</si>
  <si>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</si>
  <si>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</si>
  <si>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</si>
  <si>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</si>
  <si>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</si>
  <si>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</si>
  <si>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</si>
  <si>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</si>
  <si>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</si>
  <si>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</si>
  <si>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</si>
  <si>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</si>
  <si>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</si>
  <si>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</si>
  <si>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</si>
  <si>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</si>
  <si>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</si>
  <si>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</si>
  <si>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</si>
  <si>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</si>
  <si>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</si>
  <si>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</si>
  <si>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</si>
  <si>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</si>
  <si>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</si>
  <si>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</si>
  <si>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</si>
  <si>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</si>
  <si>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</si>
  <si>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</si>
  <si>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</si>
  <si>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</si>
  <si>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</si>
  <si>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</si>
  <si>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</si>
  <si>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</si>
  <si>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</si>
  <si>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</si>
  <si>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</si>
  <si>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</si>
  <si>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</si>
  <si>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</si>
  <si>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</si>
  <si>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</si>
  <si>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</si>
  <si>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</si>
  <si>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</si>
  <si>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</si>
  <si>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</si>
  <si>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</si>
  <si>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</si>
  <si>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</si>
  <si>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</si>
  <si>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</si>
  <si>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</si>
  <si>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</si>
  <si>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</si>
  <si>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</si>
  <si>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</si>
  <si>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</si>
  <si>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</si>
  <si>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</si>
  <si>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</si>
  <si>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</si>
  <si>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</si>
  <si>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</si>
  <si>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</si>
  <si>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</si>
  <si>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</si>
  <si>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</si>
  <si>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</si>
  <si>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</si>
  <si>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</si>
  <si>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</si>
  <si>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</si>
  <si>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</si>
  <si>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</si>
  <si>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</si>
  <si>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</si>
  <si>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</si>
  <si>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</si>
  <si>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</si>
  <si>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</si>
  <si>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</si>
  <si>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</si>
  <si>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</si>
  <si>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</si>
  <si>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</si>
  <si>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</si>
  <si>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</si>
  <si>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</si>
  <si>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</si>
  <si>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</si>
  <si>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</si>
  <si>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</si>
  <si>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</si>
  <si>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</si>
  <si>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</si>
  <si>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</si>
  <si>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</si>
  <si>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</si>
  <si>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</si>
  <si>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</si>
  <si>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</si>
  <si>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</si>
  <si>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</si>
  <si>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</si>
  <si>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</si>
  <si>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</si>
  <si>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</si>
  <si>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</si>
  <si>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</si>
  <si>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</si>
  <si>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</si>
  <si>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</si>
  <si>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</si>
  <si>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</si>
  <si>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</si>
  <si>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</si>
  <si>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</si>
  <si>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</si>
  <si>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</si>
  <si>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</si>
  <si>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</si>
  <si>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</si>
  <si>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</si>
  <si>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</si>
  <si>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</si>
  <si>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</si>
  <si>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</si>
  <si>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</si>
  <si>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</si>
  <si>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</si>
  <si>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</si>
  <si>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</si>
  <si>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</si>
  <si>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</si>
  <si>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</si>
  <si>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</si>
  <si>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</si>
  <si>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</si>
  <si>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</si>
  <si>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</si>
  <si>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</si>
  <si>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</si>
  <si>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</si>
  <si>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</si>
  <si>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</si>
  <si>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</si>
  <si>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</si>
  <si>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</si>
  <si>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</si>
  <si>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</si>
  <si>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</si>
  <si>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</si>
  <si>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</si>
  <si>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</si>
  <si>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</si>
  <si>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</si>
  <si>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</si>
  <si>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</si>
  <si>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</si>
  <si>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</si>
  <si>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</si>
  <si>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</si>
  <si>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</si>
  <si>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</si>
  <si>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</si>
  <si>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</si>
  <si>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</si>
  <si>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</si>
  <si>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</si>
  <si>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</si>
  <si>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</si>
  <si>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</si>
  <si>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</si>
  <si>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</si>
  <si>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</si>
  <si>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</si>
  <si>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</si>
  <si>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</si>
  <si>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</si>
  <si>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</si>
  <si>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</si>
  <si>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</si>
  <si>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</si>
  <si>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</si>
  <si>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</si>
  <si>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</si>
  <si>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</si>
  <si>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</si>
  <si>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</si>
  <si>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</si>
  <si>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</si>
  <si>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</si>
  <si>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</si>
  <si>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</si>
  <si>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</si>
  <si>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</si>
  <si>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</si>
  <si>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</si>
  <si>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</si>
  <si>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</si>
  <si>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</si>
  <si>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</si>
  <si>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</si>
  <si>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</si>
  <si>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</si>
  <si>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</si>
  <si>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</si>
  <si>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</si>
  <si>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</si>
  <si>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</si>
  <si>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</si>
  <si>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</si>
  <si>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</si>
  <si>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</si>
  <si>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</si>
  <si>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</si>
  <si>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</si>
  <si>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</si>
  <si>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</si>
  <si>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</si>
  <si>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</si>
  <si>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</si>
  <si>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</si>
  <si>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</si>
  <si>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</si>
  <si>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</si>
  <si>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</si>
  <si>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</si>
  <si>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</si>
  <si>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</si>
  <si>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</si>
  <si>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</si>
  <si>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</si>
  <si>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</si>
  <si>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</si>
  <si>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</si>
  <si>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</si>
  <si>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</si>
  <si>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</si>
  <si>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</si>
  <si>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</si>
  <si>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</si>
  <si>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</si>
  <si>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</si>
  <si>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</si>
  <si>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</si>
  <si>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</si>
  <si>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</si>
  <si>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</si>
  <si>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</si>
  <si>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</si>
  <si>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</si>
  <si>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</si>
  <si>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</si>
  <si>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</si>
  <si>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</si>
  <si>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</si>
  <si>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</si>
  <si>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</si>
  <si>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</si>
  <si>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</si>
  <si>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</si>
  <si>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</si>
  <si>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</si>
  <si>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</si>
  <si>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</si>
  <si>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</si>
  <si>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</si>
  <si>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</si>
  <si>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</si>
  <si>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</si>
  <si>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</si>
  <si>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</si>
  <si>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</si>
  <si>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</si>
  <si>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</si>
  <si>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</si>
  <si>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</si>
  <si>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</si>
  <si>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</si>
  <si>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</si>
  <si>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</si>
  <si>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</si>
  <si>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</si>
  <si>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</si>
  <si>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</si>
  <si>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</si>
  <si>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</si>
  <si>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</si>
  <si>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</si>
  <si>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</si>
  <si>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</si>
  <si>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</si>
  <si>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</si>
  <si>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</si>
  <si>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</si>
  <si>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</si>
  <si>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</si>
  <si>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</si>
  <si>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</si>
  <si>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</si>
  <si>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</si>
  <si>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</si>
  <si>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</si>
  <si>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</si>
  <si>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</si>
  <si>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</si>
  <si>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</si>
  <si>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</si>
  <si>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</si>
  <si>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</si>
  <si>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</si>
  <si>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</si>
  <si>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</si>
  <si>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</si>
  <si>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</si>
  <si>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</si>
  <si>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</si>
  <si>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</si>
  <si>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</si>
  <si>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</si>
  <si>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</si>
  <si>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</si>
  <si>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</si>
  <si>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</si>
  <si>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</si>
  <si>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</si>
  <si>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</si>
  <si>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</si>
  <si>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</si>
  <si>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</si>
  <si>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</si>
  <si>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</si>
  <si>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</si>
  <si>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</si>
  <si>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</si>
  <si>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</si>
  <si>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</si>
  <si>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</si>
  <si>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</si>
  <si>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</si>
  <si>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</si>
  <si>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</si>
  <si>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</si>
  <si>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</si>
  <si>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</si>
  <si>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</si>
  <si>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</si>
  <si>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</si>
  <si>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</si>
  <si>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</si>
  <si>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</si>
  <si>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</si>
  <si>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</si>
  <si>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</si>
  <si>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</si>
  <si>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</si>
  <si>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</si>
  <si>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</si>
  <si>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</si>
  <si>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</si>
  <si>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</si>
  <si>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</si>
  <si>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</si>
  <si>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</si>
  <si>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</si>
  <si>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</si>
  <si>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</si>
  <si>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</si>
  <si>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</si>
  <si>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</si>
  <si>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</si>
  <si>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</si>
  <si>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</si>
  <si>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</si>
  <si>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</si>
  <si>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</si>
  <si>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</si>
  <si>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</si>
  <si>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</si>
  <si>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</si>
  <si>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</si>
  <si>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</si>
  <si>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</si>
  <si>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</si>
  <si>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</si>
  <si>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</si>
  <si>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</si>
  <si>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</si>
  <si>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</si>
  <si>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</si>
  <si>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</si>
  <si>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</si>
  <si>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</si>
  <si>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</si>
  <si>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</si>
  <si>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</si>
  <si>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</si>
  <si>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</si>
  <si>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</si>
  <si>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</si>
  <si>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</si>
  <si>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</si>
  <si>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</si>
  <si>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</si>
  <si>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</si>
  <si>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</si>
  <si>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</si>
  <si>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</si>
  <si>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</si>
  <si>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</si>
  <si>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</si>
  <si>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</si>
  <si>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</si>
  <si>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</si>
  <si>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</si>
  <si>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</si>
  <si>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</si>
  <si>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</si>
  <si>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</si>
  <si>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</si>
  <si>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</si>
  <si>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</si>
  <si>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</si>
  <si>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</si>
  <si>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</si>
  <si>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</si>
  <si>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</si>
  <si>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</si>
  <si>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</si>
  <si>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</si>
  <si>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</si>
  <si>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</si>
  <si>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</si>
  <si>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</si>
  <si>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</si>
  <si>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</si>
  <si>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</si>
  <si>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</si>
  <si>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</si>
  <si>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</si>
  <si>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</si>
  <si>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</si>
  <si>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</si>
  <si>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Sum of Sales</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</si>
  <si>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</si>
  <si>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</si>
  <si>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</si>
  <si>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</si>
  <si>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</si>
  <si>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</si>
  <si>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</si>
  <si>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</si>
  <si>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</si>
  <si>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</si>
  <si>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</si>
  <si>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</si>
  <si>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</si>
  <si>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</si>
  <si>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</si>
  <si>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</si>
  <si>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</si>
  <si>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</si>
  <si>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</si>
  <si>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</si>
  <si>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Librica</t>
  </si>
  <si>
    <t>Robusta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</si>
</sst>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5" formatCode="&quot;₹&quot;\ #,##0;&quot;₹&quot;\ \-#,##0"/>
    <numFmt numFmtId="44" formatCode="_ &quot;₹&quot;\ * #,##0.00_ ;_ &quot;₹&quot;\ * \-#,##0.00_ ;_ &quot;₹&quot;\ * &quot;-&quot;??_ ;_ @_ "/>
    <numFmt numFmtId="164" formatCode="0.0"/>
    <numFmt numFmtId="166" formatCode="dd/mmm/yyyy"/>
    <numFmt numFmtId="170" formatCode="_ [$₹-4009]\ * #,##0.00_ ;_ [$₹-4009]\ * \-#,##0.00_ ;_ [$₹-4009]\ * &quot;-&quot;??_ ;_ @_ "/>
    <numFmt numFmtId="171" formatCode="0.0\ &quot;kg&quot;"/>
    <numFmt numFmtId="172" formatCode="#,##0_ ;\-#,##0\ "/>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0" fontId="1" fillId="0" borderId="0" xfId="0" applyFont="1" applyAlignment="1">
      <alignment vertical="center"/>
    </xf>
    <xf numFmtId="166" fontId="1" fillId="0" borderId="0" xfId="0" applyNumberFormat="1" applyFont="1" applyAlignment="1">
      <alignment vertical="center"/>
    </xf>
    <xf numFmtId="170" fontId="0" fillId="0" borderId="0" xfId="0" applyNumberFormat="1"/>
    <xf numFmtId="44" fontId="0" fillId="0" borderId="0" xfId="0" applyNumberFormat="1"/>
    <xf numFmtId="171" fontId="0" fillId="0" borderId="0" xfId="0" applyNumberFormat="1"/>
    <xf numFmtId="0" fontId="0" fillId="0" borderId="0" xfId="0" pivotButton="1"/>
    <xf numFmtId="172" fontId="0" fillId="0" borderId="0" xfId="0" applyNumberFormat="1"/>
    <xf numFmtId="5" fontId="0" fillId="0" borderId="0" xfId="0" applyNumberFormat="1"/>
  </cellXfs>
  <cellStyles count="1">
    <cellStyle name="Normal" xfId="0" builtinId="0"/>
  </cellStyles>
  <dxfs count="27">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4" formatCode="0.0"/>
    </dxf>
    <dxf>
      <font>
        <b val="0"/>
        <i val="0"/>
        <sz val="10"/>
        <color rgb="FFF1E5D1"/>
        <name val="Calibri"/>
        <family val="2"/>
        <scheme val="minor"/>
      </font>
      <border>
        <left style="thin">
          <color auto="1"/>
        </left>
        <right style="thin">
          <color auto="1"/>
        </right>
        <top style="thin">
          <color auto="1"/>
        </top>
        <bottom style="thin">
          <color auto="1"/>
        </bottom>
      </border>
    </dxf>
    <dxf>
      <font>
        <b val="0"/>
        <i val="0"/>
        <sz val="11"/>
        <color theme="0"/>
        <name val="Calibri"/>
        <family val="2"/>
        <scheme val="minor"/>
      </font>
      <fill>
        <patternFill patternType="solid">
          <fgColor theme="0"/>
          <bgColor rgb="FF987070"/>
        </patternFill>
      </fill>
      <border>
        <left style="thin">
          <color rgb="FF6F4D3F"/>
        </left>
        <right style="thin">
          <color rgb="FF6F4D3F"/>
        </right>
        <top style="thin">
          <color rgb="FF6F4D3F"/>
        </top>
        <bottom style="thin">
          <color rgb="FF6F4D3F"/>
        </bottom>
      </border>
    </dxf>
    <dxf>
      <font>
        <b/>
        <i val="0"/>
        <color rgb="FFF1E5D1"/>
        <name val="Calibri"/>
        <family val="2"/>
        <scheme val="minor"/>
      </font>
    </dxf>
    <dxf>
      <font>
        <b val="0"/>
        <i val="0"/>
        <color rgb="FFF1E5D1"/>
        <name val="Calibri"/>
        <family val="2"/>
        <scheme val="minor"/>
      </font>
      <fill>
        <patternFill>
          <bgColor rgb="FF987070"/>
        </patternFill>
      </fill>
      <border diagonalUp="0" diagonalDown="0">
        <left/>
        <right/>
        <top/>
        <bottom/>
        <vertical/>
        <horizontal/>
      </border>
    </dxf>
    <dxf>
      <numFmt numFmtId="0" formatCode="General"/>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70" formatCode="_ [$₹-4009]\ * #,##0.00_ ;_ [$₹-4009]\ * \-#,##0.00_ ;_ [$₹-4009]\ * &quot;-&quot;??_ ;_ @_ "/>
    </dxf>
    <dxf>
      <numFmt numFmtId="34" formatCode="_ &quot;₹&quot;\ * #,##0.00_ ;_ &quot;₹&quot;\ * \-#,##0.00_ ;_ &quot;₹&quot;\ * &quot;-&quot;??_ ;_ @_ "/>
    </dxf>
    <dxf>
      <numFmt numFmtId="171"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6"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2" defaultTableStyle="TableStyleMedium2" defaultPivotStyle="PivotStyleMedium9">
    <tableStyle name="Coffee Slicer Style" pivot="0" table="0" count="6" xr9:uid="{DFB1B517-5526-43AC-B950-13ABE222BF80}">
      <tableStyleElement type="wholeTable" dxfId="14"/>
      <tableStyleElement type="headerRow" dxfId="13"/>
    </tableStyle>
    <tableStyle name="Coffee Timeline Style" pivot="0" table="0" count="8" xr9:uid="{68E94CCF-0E7F-4936-882E-DB60138EC91F}">
      <tableStyleElement type="wholeTable" dxfId="12"/>
      <tableStyleElement type="headerRow" dxfId="11"/>
    </tableStyle>
  </tableStyles>
  <colors>
    <mruColors>
      <color rgb="FFFFE4D5"/>
      <color rgb="FFF1E5D1"/>
      <color rgb="FF6F4D3F"/>
      <color rgb="FFFFB4A2"/>
      <color rgb="FFFFCDB2"/>
      <color rgb="FF987070"/>
      <color rgb="FFC39898"/>
      <color rgb="FF50362A"/>
      <color rgb="FFB5828C"/>
    </mruColors>
  </colors>
  <extLst>
    <ext xmlns:x14="http://schemas.microsoft.com/office/spreadsheetml/2009/9/main" uri="{46F421CA-312F-682f-3DD2-61675219B42D}">
      <x14:dxfs count="4">
        <dxf>
          <font>
            <b/>
            <i val="0"/>
            <color rgb="FFF1E5D1"/>
            <name val="Calibri"/>
            <family val="2"/>
            <scheme val="minor"/>
          </font>
          <border>
            <left style="thin">
              <color auto="1"/>
            </left>
            <right style="thin">
              <color auto="1"/>
            </right>
            <top style="thin">
              <color auto="1"/>
            </top>
            <bottom style="thin">
              <color auto="1"/>
            </bottom>
          </border>
        </dxf>
        <dxf>
          <font>
            <b/>
            <i val="0"/>
            <color rgb="FF50362A"/>
            <name val="Calibri"/>
            <family val="2"/>
            <scheme val="minor"/>
          </font>
          <fill>
            <patternFill>
              <bgColor theme="0"/>
            </patternFill>
          </fill>
          <border>
            <left style="thin">
              <color auto="1"/>
            </left>
            <right style="thin">
              <color auto="1"/>
            </right>
            <top style="thin">
              <color auto="1"/>
            </top>
            <bottom style="thin">
              <color auto="1"/>
            </bottom>
          </border>
        </dxf>
        <dxf>
          <font>
            <b val="0"/>
            <i val="0"/>
            <strike/>
            <color theme="1"/>
            <name val="Calibri"/>
            <family val="2"/>
            <scheme val="minor"/>
          </font>
          <fill>
            <patternFill>
              <bgColor theme="0" tint="-0.14996795556505021"/>
            </patternFill>
          </fill>
          <border>
            <left style="thin">
              <color theme="0"/>
            </left>
            <right style="thin">
              <color theme="0"/>
            </right>
            <top style="thin">
              <color theme="0"/>
            </top>
            <bottom style="thin">
              <color theme="0"/>
            </bottom>
          </border>
        </dxf>
        <dxf>
          <font>
            <b val="0"/>
            <i val="0"/>
            <strike/>
            <color rgb="FF50362A"/>
            <name val="Calibri"/>
            <family val="2"/>
            <scheme val="minor"/>
          </font>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Coffee Slicer Style">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18">
        <dxf>
          <fill>
            <patternFill patternType="solid">
              <fgColor theme="0" tint="-0.14996795556505021"/>
              <bgColor theme="0"/>
            </patternFill>
          </fill>
          <border diagonalUp="0" diagonalDown="0">
            <left style="thin">
              <color theme="0"/>
            </left>
            <right style="thin">
              <color theme="0"/>
            </right>
            <top style="thin">
              <color theme="0"/>
            </top>
            <bottom style="thin">
              <color theme="0"/>
            </bottom>
            <vertical/>
            <horizontal/>
          </border>
        </dxf>
        <dxf>
          <fill>
            <patternFill patternType="solid">
              <fgColor theme="0"/>
              <bgColor rgb="FFB5828C"/>
            </patternFill>
          </fill>
          <border>
            <left style="thin">
              <color theme="0"/>
            </left>
            <right style="thin">
              <color theme="0"/>
            </right>
            <top style="thin">
              <color theme="0"/>
            </top>
            <bottom style="thin">
              <color theme="0"/>
            </bottom>
          </border>
        </dxf>
        <dxf>
          <font>
            <b/>
            <i val="0"/>
            <sz val="9"/>
            <color rgb="FFFFE4D5"/>
            <name val="Calibri"/>
            <family val="2"/>
            <scheme val="minor"/>
          </font>
        </dxf>
        <dxf>
          <font>
            <b/>
            <i val="0"/>
            <sz val="9"/>
            <color rgb="FFFFE4D5"/>
            <name val="Calibri"/>
            <family val="2"/>
            <scheme val="minor"/>
          </font>
        </dxf>
        <dxf>
          <font>
            <b/>
            <i val="0"/>
            <sz val="9"/>
            <color rgb="FFF1E5D1"/>
            <name val="Calibri"/>
            <family val="2"/>
            <scheme val="minor"/>
          </font>
        </dxf>
        <dxf>
          <font>
            <b/>
            <i val="0"/>
            <sz val="10"/>
            <color rgb="FFF1E5D1"/>
            <name val="Calibri"/>
            <family val="2"/>
            <scheme val="minor"/>
          </font>
        </dxf>
        <dxf>
          <fill>
            <patternFill patternType="solid">
              <fgColor theme="0" tint="-0.14996795556505021"/>
              <bgColor theme="0"/>
            </patternFill>
          </fill>
          <border diagonalUp="0" diagonalDown="0">
            <left style="thin">
              <color theme="0"/>
            </left>
            <right style="thin">
              <color theme="0"/>
            </right>
            <top style="thin">
              <color theme="0"/>
            </top>
            <bottom style="thin">
              <color theme="0"/>
            </bottom>
            <vertical/>
            <horizontal/>
          </border>
        </dxf>
        <dxf>
          <fill>
            <patternFill patternType="solid">
              <fgColor theme="0"/>
              <bgColor rgb="FFB5828C"/>
            </patternFill>
          </fill>
          <border>
            <left style="thin">
              <color theme="0"/>
            </left>
            <right style="thin">
              <color theme="0"/>
            </right>
            <top style="thin">
              <color theme="0"/>
            </top>
            <bottom style="thin">
              <color theme="0"/>
            </bottom>
          </border>
        </dxf>
        <dxf>
          <font>
            <b/>
            <i val="0"/>
            <sz val="9"/>
            <color rgb="FF987070"/>
            <name val="Calibri"/>
            <family val="2"/>
            <scheme val="minor"/>
          </font>
        </dxf>
        <dxf>
          <font>
            <b/>
            <i val="0"/>
            <sz val="9"/>
            <color rgb="FFFFE4D5"/>
            <name val="Calibri"/>
            <family val="2"/>
            <scheme val="minor"/>
          </font>
        </dxf>
        <dxf>
          <font>
            <b/>
            <i val="0"/>
            <sz val="9"/>
            <color rgb="FFF1E5D1"/>
            <name val="Calibri"/>
            <family val="2"/>
            <scheme val="minor"/>
          </font>
        </dxf>
        <dxf>
          <font>
            <b/>
            <i val="0"/>
            <sz val="10"/>
            <color rgb="FFF1E5D1"/>
            <name val="Calibri"/>
            <family val="2"/>
            <scheme val="minor"/>
          </font>
        </dxf>
        <dxf>
          <fill>
            <patternFill patternType="solid">
              <fgColor theme="0" tint="-0.14996795556505021"/>
              <bgColor theme="0"/>
            </patternFill>
          </fill>
          <border diagonalUp="0" diagonalDown="0">
            <left style="thin">
              <color theme="0"/>
            </left>
            <right style="thin">
              <color theme="0"/>
            </right>
            <top style="thin">
              <color theme="0"/>
            </top>
            <bottom style="thin">
              <color theme="0"/>
            </bottom>
            <vertical/>
            <horizontal/>
          </border>
        </dxf>
        <dxf>
          <fill>
            <patternFill patternType="solid">
              <fgColor theme="0"/>
              <bgColor rgb="FFB5828C"/>
            </patternFill>
          </fill>
          <border>
            <left style="thin">
              <color theme="0"/>
            </left>
            <right style="thin">
              <color theme="0"/>
            </right>
            <top style="thin">
              <color theme="0"/>
            </top>
            <bottom style="thin">
              <color theme="0"/>
            </bottom>
          </border>
        </dxf>
        <dxf>
          <font>
            <b/>
            <i val="0"/>
            <sz val="9"/>
            <color rgb="FF987070"/>
            <name val="Calibri"/>
            <family val="2"/>
            <scheme val="minor"/>
          </font>
        </dxf>
        <dxf>
          <font>
            <b/>
            <i val="0"/>
            <sz val="9"/>
            <color rgb="FF987070"/>
            <name val="Calibri"/>
            <family val="2"/>
            <scheme val="minor"/>
          </font>
        </dxf>
        <dxf>
          <font>
            <b/>
            <i val="0"/>
            <sz val="9"/>
            <color rgb="FFF1E5D1"/>
            <name val="Calibri"/>
            <family val="2"/>
            <scheme val="minor"/>
          </font>
        </dxf>
        <dxf>
          <font>
            <b/>
            <i val="0"/>
            <sz val="10"/>
            <color rgb="FFF1E5D1"/>
            <name val="Calibri"/>
            <family val="2"/>
            <scheme val="minor"/>
          </font>
        </dxf>
      </x15:dxfs>
    </ext>
    <ext xmlns:x15="http://schemas.microsoft.com/office/spreadsheetml/2010/11/main" uri="{9260A510-F301-46a8-8635-F512D64BE5F5}">
      <x15:timelineStyles defaultTimelineStyle="TimeSlicerStyleLight1">
        <x15:timelineStyle name="Coffe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[coffeeOrdersData.xlsx]TotalSales!Total Sales</c:name>
    <c:fmtId val="17"/>
  </c:pivotSource>
  <c:chart>
    <c:title>
      <c:tx>
        <c:rich>
          <a:bodyPr rot="0" spcFirstLastPara="1" vertOverflow="ellipsis" vert="horz" wrap="square" anchor="ctr" anchorCtr="1"/>
          <a:lstStyle/>
          <a:p>
            <a:pPr>
              <a:defRPr sz="1400" b="0" i="0" u="none" strike="noStrike" kern="1200" spc="0" baseline="0">
                <a:solidFill>
                  <a:srgbClr val="F1E5D1"/>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1E5D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F1E5D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6">
                <a:lumMod val="20000"/>
                <a:lumOff val="8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F1E5D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bg1">
                <a:lumMod val="75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F1E5D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F1E5D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1E5D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6">
                <a:lumMod val="20000"/>
                <a:lumOff val="8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1E5D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bg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1E5D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1E5D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1E5D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6">
                <a:lumMod val="20000"/>
                <a:lumOff val="8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1E5D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bg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1E5D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1E5D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chemeClr val="accent1"/>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#,##0_ ;\-#,##0\ </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1C04-43DA-94C7-E6D8738E68AE}"/>
            </c:ext>
          </c:extLst>
        </c:ser>
        <c:ser>
          <c:idx val="1"/>
          <c:order val="1"/>
          <c:tx>
            <c:strRef>
              <c:f>TotalSales!$D$3:$D$4</c:f>
              <c:strCache>
                <c:ptCount val="1"/>
                <c:pt idx="0">
                  <c:v>Excelsa</c:v>
                </c:pt>
              </c:strCache>
            </c:strRef>
          </c:tx>
          <c:spPr>
            <a:ln w="28575" cap="rnd">
              <a:solidFill>
                <a:schemeClr val="accent6">
                  <a:lumMod val="20000"/>
                  <a:lumOff val="80000"/>
                </a:schemeClr>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#,##0_ ;\-#,##0\ </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1C04-43DA-94C7-E6D8738E68AE}"/>
            </c:ext>
          </c:extLst>
        </c:ser>
        <c:ser>
          <c:idx val="2"/>
          <c:order val="2"/>
          <c:tx>
            <c:strRef>
              <c:f>TotalSales!$E$3:$E$4</c:f>
              <c:strCache>
                <c:ptCount val="1"/>
                <c:pt idx="0">
                  <c:v>Librica</c:v>
                </c:pt>
              </c:strCache>
            </c:strRef>
          </c:tx>
          <c:spPr>
            <a:ln w="28575" cap="rnd">
              <a:solidFill>
                <a:schemeClr val="bg1">
                  <a:lumMod val="75000"/>
                </a:schemeClr>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#,##0_ ;\-#,##0\ </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1C04-43DA-94C7-E6D8738E68AE}"/>
            </c:ext>
          </c:extLst>
        </c:ser>
        <c:ser>
          <c:idx val="3"/>
          <c:order val="3"/>
          <c:tx>
            <c:strRef>
              <c:f>TotalSales!$F$3:$F$4</c:f>
              <c:strCache>
                <c:ptCount val="1"/>
                <c:pt idx="0">
                  <c:v>Robusta</c:v>
                </c:pt>
              </c:strCache>
            </c:strRef>
          </c:tx>
          <c:spPr>
            <a:ln w="28575" cap="rnd">
              <a:solidFill>
                <a:schemeClr val="accent4"/>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#,##0_ ;\-#,##0\ </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1C04-43DA-94C7-E6D8738E68AE}"/>
            </c:ext>
          </c:extLst>
        </c:ser>
        <c:dLbls>
          <c:showLegendKey val="0"/>
          <c:showVal val="0"/>
          <c:showCatName val="0"/>
          <c:showSerName val="0"/>
          <c:showPercent val="0"/>
          <c:showBubbleSize val="0"/>
        </c:dLbls>
        <c:smooth val="0"/>
        <c:axId val="1248963439"/>
        <c:axId val="1248975919"/>
      </c:lineChart>
      <c:catAx>
        <c:axId val="1248963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1E5D1"/>
                </a:solidFill>
                <a:latin typeface="+mn-lt"/>
                <a:ea typeface="+mn-ea"/>
                <a:cs typeface="+mn-cs"/>
              </a:defRPr>
            </a:pPr>
            <a:endParaRPr lang="en-US"/>
          </a:p>
        </c:txPr>
        <c:crossAx val="1248975919"/>
        <c:crosses val="autoZero"/>
        <c:auto val="1"/>
        <c:lblAlgn val="ctr"/>
        <c:lblOffset val="100"/>
        <c:noMultiLvlLbl val="0"/>
      </c:catAx>
      <c:valAx>
        <c:axId val="12489759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F1E5D1"/>
                    </a:solidFill>
                    <a:latin typeface="+mn-lt"/>
                    <a:ea typeface="+mn-ea"/>
                    <a:cs typeface="+mn-cs"/>
                  </a:defRPr>
                </a:pPr>
                <a:r>
                  <a:rPr lang="en-IN"/>
                  <a:t>Rupees</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F1E5D1"/>
                  </a:solidFill>
                  <a:latin typeface="+mn-lt"/>
                  <a:ea typeface="+mn-ea"/>
                  <a:cs typeface="+mn-cs"/>
                </a:defRPr>
              </a:pPr>
              <a:endParaRPr lang="en-US"/>
            </a:p>
          </c:txPr>
        </c:title>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1E5D1"/>
                </a:solidFill>
                <a:latin typeface="+mn-lt"/>
                <a:ea typeface="+mn-ea"/>
                <a:cs typeface="+mn-cs"/>
              </a:defRPr>
            </a:pPr>
            <a:endParaRPr lang="en-US"/>
          </a:p>
        </c:txPr>
        <c:crossAx val="1248963439"/>
        <c:crosses val="autoZero"/>
        <c:crossBetween val="between"/>
      </c:valAx>
      <c:spPr>
        <a:solidFill>
          <a:srgbClr val="987070"/>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F1E5D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87070"/>
    </a:solidFill>
    <a:ln w="9525" cap="flat" cmpd="sng" algn="ctr">
      <a:solidFill>
        <a:schemeClr val="tx1">
          <a:lumMod val="15000"/>
          <a:lumOff val="85000"/>
        </a:schemeClr>
      </a:solidFill>
      <a:round/>
    </a:ln>
    <a:effectLst/>
  </c:spPr>
  <c:txPr>
    <a:bodyPr/>
    <a:lstStyle/>
    <a:p>
      <a:pPr>
        <a:defRPr>
          <a:solidFill>
            <a:srgbClr val="F1E5D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[coffeeOrdersData.xlsx]CountryBarChart!Total Sales</c:name>
    <c:fmtId val="21"/>
  </c:pivotSource>
  <c:chart>
    <c:title>
      <c:tx>
        <c:rich>
          <a:bodyPr rot="0" spcFirstLastPara="1" vertOverflow="ellipsis" vert="horz" wrap="square" anchor="ctr" anchorCtr="1"/>
          <a:lstStyle/>
          <a:p>
            <a:pPr>
              <a:defRPr sz="1400" b="0" i="0" u="none" strike="noStrike" kern="1200" spc="0" baseline="0">
                <a:solidFill>
                  <a:srgbClr val="F1E5D1"/>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1E5D1"/>
              </a:solidFill>
              <a:latin typeface="+mn-lt"/>
              <a:ea typeface="+mn-ea"/>
              <a:cs typeface="+mn-cs"/>
            </a:defRPr>
          </a:pPr>
          <a:endParaRPr lang="en-US"/>
        </a:p>
      </c:txPr>
    </c:title>
    <c:autoTitleDeleted val="0"/>
    <c:pivotFmts>
      <c:pivotFmt>
        <c:idx val="0"/>
        <c:spPr>
          <a:solidFill>
            <a:srgbClr val="FFE4D5"/>
          </a:solidFill>
          <a:ln w="127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F1E5D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67000">
                <a:srgbClr val="FFCDB2"/>
              </a:gs>
              <a:gs pos="0">
                <a:schemeClr val="accent1">
                  <a:lumMod val="30000"/>
                  <a:lumOff val="70000"/>
                </a:schemeClr>
              </a:gs>
            </a:gsLst>
            <a:lin ang="5400000" scaled="1"/>
            <a:tileRect/>
          </a:gradFill>
          <a:ln w="12700">
            <a:solidFill>
              <a:schemeClr val="bg1"/>
            </a:solidFill>
          </a:ln>
          <a:effectLst/>
        </c:spPr>
      </c:pivotFmt>
      <c:pivotFmt>
        <c:idx val="2"/>
        <c:spPr>
          <a:gradFill>
            <a:gsLst>
              <a:gs pos="7000">
                <a:schemeClr val="accent1">
                  <a:lumMod val="5000"/>
                  <a:lumOff val="95000"/>
                </a:schemeClr>
              </a:gs>
              <a:gs pos="62000">
                <a:srgbClr val="FFB4A2"/>
              </a:gs>
            </a:gsLst>
            <a:lin ang="5400000" scaled="1"/>
          </a:gradFill>
          <a:ln>
            <a:gradFill>
              <a:gsLst>
                <a:gs pos="0">
                  <a:schemeClr val="accent1">
                    <a:lumMod val="5000"/>
                    <a:lumOff val="95000"/>
                  </a:schemeClr>
                </a:gs>
                <a:gs pos="81000">
                  <a:srgbClr val="FFB4A2"/>
                </a:gs>
                <a:gs pos="83000">
                  <a:schemeClr val="accent1">
                    <a:lumMod val="45000"/>
                    <a:lumOff val="55000"/>
                  </a:schemeClr>
                </a:gs>
              </a:gsLst>
              <a:lin ang="5400000" scaled="1"/>
            </a:gradFill>
          </a:ln>
          <a:effectLst/>
        </c:spPr>
      </c:pivotFmt>
      <c:pivotFmt>
        <c:idx val="3"/>
        <c:spPr>
          <a:gradFill>
            <a:gsLst>
              <a:gs pos="0">
                <a:schemeClr val="accent1">
                  <a:lumMod val="5000"/>
                  <a:lumOff val="95000"/>
                </a:schemeClr>
              </a:gs>
              <a:gs pos="34000">
                <a:srgbClr val="FFB4A2"/>
              </a:gs>
            </a:gsLst>
            <a:lin ang="5400000" scaled="1"/>
          </a:gradFill>
          <a:ln w="12700">
            <a:solidFill>
              <a:schemeClr val="bg1"/>
            </a:solidFill>
          </a:ln>
          <a:effectLst/>
        </c:spPr>
      </c:pivotFmt>
      <c:pivotFmt>
        <c:idx val="4"/>
        <c:spPr>
          <a:solidFill>
            <a:srgbClr val="FFE4D5"/>
          </a:solidFill>
          <a:ln w="127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F1E5D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7000">
                <a:schemeClr val="accent1">
                  <a:lumMod val="5000"/>
                  <a:lumOff val="95000"/>
                </a:schemeClr>
              </a:gs>
              <a:gs pos="62000">
                <a:srgbClr val="FFB4A2"/>
              </a:gs>
            </a:gsLst>
            <a:lin ang="5400000" scaled="1"/>
          </a:gradFill>
          <a:ln>
            <a:gradFill>
              <a:gsLst>
                <a:gs pos="0">
                  <a:schemeClr val="accent1">
                    <a:lumMod val="5000"/>
                    <a:lumOff val="95000"/>
                  </a:schemeClr>
                </a:gs>
                <a:gs pos="81000">
                  <a:srgbClr val="FFB4A2"/>
                </a:gs>
                <a:gs pos="83000">
                  <a:schemeClr val="accent1">
                    <a:lumMod val="45000"/>
                    <a:lumOff val="55000"/>
                  </a:schemeClr>
                </a:gs>
              </a:gsLst>
              <a:lin ang="5400000" scaled="1"/>
            </a:gradFill>
          </a:ln>
          <a:effectLst/>
        </c:spPr>
      </c:pivotFmt>
      <c:pivotFmt>
        <c:idx val="6"/>
        <c:spPr>
          <a:gradFill flip="none" rotWithShape="1">
            <a:gsLst>
              <a:gs pos="67000">
                <a:srgbClr val="FFCDB2"/>
              </a:gs>
              <a:gs pos="0">
                <a:schemeClr val="accent1">
                  <a:lumMod val="30000"/>
                  <a:lumOff val="70000"/>
                </a:schemeClr>
              </a:gs>
            </a:gsLst>
            <a:lin ang="5400000" scaled="1"/>
            <a:tileRect/>
          </a:gradFill>
          <a:ln w="12700">
            <a:solidFill>
              <a:schemeClr val="bg1"/>
            </a:solidFill>
          </a:ln>
          <a:effectLst/>
        </c:spPr>
      </c:pivotFmt>
      <c:pivotFmt>
        <c:idx val="7"/>
        <c:spPr>
          <a:gradFill>
            <a:gsLst>
              <a:gs pos="0">
                <a:schemeClr val="accent1">
                  <a:lumMod val="5000"/>
                  <a:lumOff val="95000"/>
                </a:schemeClr>
              </a:gs>
              <a:gs pos="34000">
                <a:srgbClr val="FFB4A2"/>
              </a:gs>
            </a:gsLst>
            <a:lin ang="5400000" scaled="1"/>
          </a:gradFill>
          <a:ln w="12700">
            <a:solidFill>
              <a:schemeClr val="bg1"/>
            </a:solidFill>
          </a:ln>
          <a:effectLst/>
        </c:spPr>
      </c:pivotFmt>
      <c:pivotFmt>
        <c:idx val="8"/>
        <c:spPr>
          <a:solidFill>
            <a:srgbClr val="FFE4D5"/>
          </a:solidFill>
          <a:ln w="127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F1E5D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a:gsLst>
              <a:gs pos="7000">
                <a:schemeClr val="accent1">
                  <a:lumMod val="5000"/>
                  <a:lumOff val="95000"/>
                </a:schemeClr>
              </a:gs>
              <a:gs pos="62000">
                <a:srgbClr val="FFB4A2"/>
              </a:gs>
            </a:gsLst>
            <a:lin ang="5400000" scaled="1"/>
          </a:gradFill>
          <a:ln>
            <a:gradFill>
              <a:gsLst>
                <a:gs pos="0">
                  <a:schemeClr val="accent1">
                    <a:lumMod val="5000"/>
                    <a:lumOff val="95000"/>
                  </a:schemeClr>
                </a:gs>
                <a:gs pos="81000">
                  <a:srgbClr val="FFB4A2"/>
                </a:gs>
                <a:gs pos="83000">
                  <a:schemeClr val="accent1">
                    <a:lumMod val="45000"/>
                    <a:lumOff val="55000"/>
                  </a:schemeClr>
                </a:gs>
              </a:gsLst>
              <a:lin ang="5400000" scaled="1"/>
            </a:gradFill>
          </a:ln>
          <a:effectLst/>
        </c:spPr>
      </c:pivotFmt>
      <c:pivotFmt>
        <c:idx val="10"/>
        <c:spPr>
          <a:gradFill flip="none" rotWithShape="1">
            <a:gsLst>
              <a:gs pos="67000">
                <a:srgbClr val="FFCDB2"/>
              </a:gs>
              <a:gs pos="0">
                <a:schemeClr val="accent1">
                  <a:lumMod val="30000"/>
                  <a:lumOff val="70000"/>
                </a:schemeClr>
              </a:gs>
            </a:gsLst>
            <a:lin ang="5400000" scaled="1"/>
            <a:tileRect/>
          </a:gradFill>
          <a:ln w="12700">
            <a:solidFill>
              <a:schemeClr val="bg1"/>
            </a:solidFill>
          </a:ln>
          <a:effectLst/>
        </c:spPr>
      </c:pivotFmt>
      <c:pivotFmt>
        <c:idx val="11"/>
        <c:spPr>
          <a:gradFill>
            <a:gsLst>
              <a:gs pos="0">
                <a:schemeClr val="accent1">
                  <a:lumMod val="5000"/>
                  <a:lumOff val="95000"/>
                </a:schemeClr>
              </a:gs>
              <a:gs pos="34000">
                <a:srgbClr val="FFB4A2"/>
              </a:gs>
            </a:gsLst>
            <a:lin ang="5400000" scaled="1"/>
          </a:gradFill>
          <a:ln w="12700">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FFE4D5"/>
            </a:solidFill>
            <a:ln w="12700">
              <a:solidFill>
                <a:schemeClr val="bg1"/>
              </a:solidFill>
            </a:ln>
            <a:effectLst/>
          </c:spPr>
          <c:invertIfNegative val="0"/>
          <c:dPt>
            <c:idx val="0"/>
            <c:invertIfNegative val="0"/>
            <c:bubble3D val="0"/>
            <c:spPr>
              <a:gradFill>
                <a:gsLst>
                  <a:gs pos="7000">
                    <a:schemeClr val="accent1">
                      <a:lumMod val="5000"/>
                      <a:lumOff val="95000"/>
                    </a:schemeClr>
                  </a:gs>
                  <a:gs pos="62000">
                    <a:srgbClr val="FFB4A2"/>
                  </a:gs>
                </a:gsLst>
                <a:lin ang="5400000" scaled="1"/>
              </a:gradFill>
              <a:ln>
                <a:gradFill>
                  <a:gsLst>
                    <a:gs pos="0">
                      <a:schemeClr val="accent1">
                        <a:lumMod val="5000"/>
                        <a:lumOff val="95000"/>
                      </a:schemeClr>
                    </a:gs>
                    <a:gs pos="81000">
                      <a:srgbClr val="FFB4A2"/>
                    </a:gs>
                    <a:gs pos="83000">
                      <a:schemeClr val="accent1">
                        <a:lumMod val="45000"/>
                        <a:lumOff val="55000"/>
                      </a:schemeClr>
                    </a:gs>
                  </a:gsLst>
                  <a:lin ang="5400000" scaled="1"/>
                </a:gradFill>
              </a:ln>
              <a:effectLst/>
            </c:spPr>
            <c:extLst>
              <c:ext xmlns:c16="http://schemas.microsoft.com/office/drawing/2014/chart" uri="{C3380CC4-5D6E-409C-BE32-E72D297353CC}">
                <c16:uniqueId val="{00000001-D9D3-4C37-B6B3-581C8C0440FC}"/>
              </c:ext>
            </c:extLst>
          </c:dPt>
          <c:dPt>
            <c:idx val="1"/>
            <c:invertIfNegative val="0"/>
            <c:bubble3D val="0"/>
            <c:spPr>
              <a:gradFill flip="none" rotWithShape="1">
                <a:gsLst>
                  <a:gs pos="67000">
                    <a:srgbClr val="FFCDB2"/>
                  </a:gs>
                  <a:gs pos="0">
                    <a:schemeClr val="accent1">
                      <a:lumMod val="30000"/>
                      <a:lumOff val="70000"/>
                    </a:schemeClr>
                  </a:gs>
                </a:gsLst>
                <a:lin ang="5400000" scaled="1"/>
                <a:tileRect/>
              </a:gradFill>
              <a:ln w="12700">
                <a:solidFill>
                  <a:schemeClr val="bg1"/>
                </a:solidFill>
              </a:ln>
              <a:effectLst/>
            </c:spPr>
            <c:extLst>
              <c:ext xmlns:c16="http://schemas.microsoft.com/office/drawing/2014/chart" uri="{C3380CC4-5D6E-409C-BE32-E72D297353CC}">
                <c16:uniqueId val="{00000003-D9D3-4C37-B6B3-581C8C0440FC}"/>
              </c:ext>
            </c:extLst>
          </c:dPt>
          <c:dPt>
            <c:idx val="2"/>
            <c:invertIfNegative val="0"/>
            <c:bubble3D val="0"/>
            <c:spPr>
              <a:gradFill>
                <a:gsLst>
                  <a:gs pos="0">
                    <a:schemeClr val="accent1">
                      <a:lumMod val="5000"/>
                      <a:lumOff val="95000"/>
                    </a:schemeClr>
                  </a:gs>
                  <a:gs pos="34000">
                    <a:srgbClr val="FFB4A2"/>
                  </a:gs>
                </a:gsLst>
                <a:lin ang="5400000" scaled="1"/>
              </a:gradFill>
              <a:ln w="12700">
                <a:solidFill>
                  <a:schemeClr val="bg1"/>
                </a:solidFill>
              </a:ln>
              <a:effectLst/>
            </c:spPr>
            <c:extLst>
              <c:ext xmlns:c16="http://schemas.microsoft.com/office/drawing/2014/chart" uri="{C3380CC4-5D6E-409C-BE32-E72D297353CC}">
                <c16:uniqueId val="{00000005-D9D3-4C37-B6B3-581C8C0440FC}"/>
              </c:ext>
            </c:extLst>
          </c:dPt>
          <c:dLbls>
            <c:spPr>
              <a:noFill/>
              <a:ln>
                <a:noFill/>
              </a:ln>
              <a:effectLst/>
            </c:spPr>
            <c:txPr>
              <a:bodyPr rot="0" spcFirstLastPara="1" vertOverflow="ellipsis" vert="horz" wrap="square" anchor="ctr" anchorCtr="1"/>
              <a:lstStyle/>
              <a:p>
                <a:pPr>
                  <a:defRPr sz="900" b="0" i="0" u="none" strike="noStrike" kern="1200" baseline="0">
                    <a:solidFill>
                      <a:srgbClr val="F1E5D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"₹"#,##0_);\("₹"#,##0\)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D9D3-4C37-B6B3-581C8C0440FC}"/>
            </c:ext>
          </c:extLst>
        </c:ser>
        <c:dLbls>
          <c:showLegendKey val="0"/>
          <c:showVal val="0"/>
          <c:showCatName val="0"/>
          <c:showSerName val="0"/>
          <c:showPercent val="0"/>
          <c:showBubbleSize val="0"/>
        </c:dLbls>
        <c:gapWidth val="182"/>
        <c:axId val="1410520575"/>
        <c:axId val="1410521535"/>
      </c:barChart>
      <c:catAx>
        <c:axId val="14105205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1E5D1"/>
                </a:solidFill>
                <a:latin typeface="+mn-lt"/>
                <a:ea typeface="+mn-ea"/>
                <a:cs typeface="+mn-cs"/>
              </a:defRPr>
            </a:pPr>
            <a:endParaRPr lang="en-US"/>
          </a:p>
        </c:txPr>
        <c:crossAx val="1410521535"/>
        <c:crosses val="autoZero"/>
        <c:auto val="1"/>
        <c:lblAlgn val="ctr"/>
        <c:lblOffset val="100"/>
        <c:noMultiLvlLbl val="0"/>
      </c:catAx>
      <c:valAx>
        <c:axId val="1410521535"/>
        <c:scaling>
          <c:orientation val="minMax"/>
        </c:scaling>
        <c:delete val="0"/>
        <c:axPos val="b"/>
        <c:majorGridlines>
          <c:spPr>
            <a:ln w="9525" cap="flat" cmpd="sng" algn="ctr">
              <a:solidFill>
                <a:schemeClr val="tx1">
                  <a:lumMod val="15000"/>
                  <a:lumOff val="85000"/>
                </a:schemeClr>
              </a:soli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1E5D1"/>
                </a:solidFill>
                <a:latin typeface="+mn-lt"/>
                <a:ea typeface="+mn-ea"/>
                <a:cs typeface="+mn-cs"/>
              </a:defRPr>
            </a:pPr>
            <a:endParaRPr lang="en-US"/>
          </a:p>
        </c:txPr>
        <c:crossAx val="1410520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87070"/>
    </a:solidFill>
    <a:ln w="9525" cap="flat" cmpd="sng" algn="ctr">
      <a:solidFill>
        <a:schemeClr val="tx1">
          <a:lumMod val="15000"/>
          <a:lumOff val="85000"/>
        </a:schemeClr>
      </a:solidFill>
      <a:round/>
    </a:ln>
    <a:effectLst/>
  </c:spPr>
  <c:txPr>
    <a:bodyPr/>
    <a:lstStyle/>
    <a:p>
      <a:pPr>
        <a:defRPr>
          <a:solidFill>
            <a:srgbClr val="F1E5D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[coffeeOrdersData.xlsx]Top5Customers!Total Sales</c:name>
    <c:fmtId val="22"/>
  </c:pivotSource>
  <c:chart>
    <c:title>
      <c:tx>
        <c:rich>
          <a:bodyPr rot="0" spcFirstLastPara="1" vertOverflow="ellipsis" vert="horz" wrap="square" anchor="ctr" anchorCtr="1"/>
          <a:lstStyle/>
          <a:p>
            <a:pPr>
              <a:defRPr sz="1400" b="0" i="0" u="none" strike="noStrike" kern="1200" spc="0" baseline="0">
                <a:solidFill>
                  <a:srgbClr val="F1E5D1"/>
                </a:solidFill>
                <a:latin typeface="+mn-lt"/>
                <a:ea typeface="+mn-ea"/>
                <a:cs typeface="+mn-cs"/>
              </a:defRPr>
            </a:pPr>
            <a:r>
              <a:rPr lang="en-US"/>
              <a:t>Top</a:t>
            </a:r>
            <a:r>
              <a:rPr lang="en-US" baseline="0"/>
              <a:t> 5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1E5D1"/>
              </a:solidFill>
              <a:latin typeface="+mn-lt"/>
              <a:ea typeface="+mn-ea"/>
              <a:cs typeface="+mn-cs"/>
            </a:defRPr>
          </a:pPr>
          <a:endParaRPr lang="en-US"/>
        </a:p>
      </c:txPr>
    </c:title>
    <c:autoTitleDeleted val="0"/>
    <c:pivotFmts>
      <c:pivotFmt>
        <c:idx val="0"/>
        <c:spPr>
          <a:solidFill>
            <a:srgbClr val="FFE4D5"/>
          </a:solidFill>
          <a:ln w="127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F1E5D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67000">
                <a:srgbClr val="FFCDB2"/>
              </a:gs>
              <a:gs pos="0">
                <a:schemeClr val="accent1">
                  <a:lumMod val="30000"/>
                  <a:lumOff val="70000"/>
                </a:schemeClr>
              </a:gs>
            </a:gsLst>
            <a:lin ang="5400000" scaled="1"/>
            <a:tileRect/>
          </a:gradFill>
          <a:ln w="12700">
            <a:solidFill>
              <a:schemeClr val="bg1"/>
            </a:solidFill>
          </a:ln>
          <a:effectLst/>
        </c:spPr>
      </c:pivotFmt>
      <c:pivotFmt>
        <c:idx val="2"/>
        <c:spPr>
          <a:gradFill>
            <a:gsLst>
              <a:gs pos="7000">
                <a:schemeClr val="accent1">
                  <a:lumMod val="5000"/>
                  <a:lumOff val="95000"/>
                </a:schemeClr>
              </a:gs>
              <a:gs pos="62000">
                <a:srgbClr val="FFB4A2"/>
              </a:gs>
            </a:gsLst>
            <a:lin ang="5400000" scaled="1"/>
          </a:gradFill>
          <a:ln>
            <a:gradFill>
              <a:gsLst>
                <a:gs pos="0">
                  <a:schemeClr val="accent1">
                    <a:lumMod val="5000"/>
                    <a:lumOff val="95000"/>
                  </a:schemeClr>
                </a:gs>
                <a:gs pos="81000">
                  <a:srgbClr val="FFB4A2"/>
                </a:gs>
                <a:gs pos="83000">
                  <a:schemeClr val="accent1">
                    <a:lumMod val="45000"/>
                    <a:lumOff val="55000"/>
                  </a:schemeClr>
                </a:gs>
              </a:gsLst>
              <a:lin ang="5400000" scaled="1"/>
            </a:gradFill>
          </a:ln>
          <a:effectLst/>
        </c:spPr>
      </c:pivotFmt>
      <c:pivotFmt>
        <c:idx val="3"/>
        <c:spPr>
          <a:gradFill>
            <a:gsLst>
              <a:gs pos="0">
                <a:schemeClr val="accent1">
                  <a:lumMod val="5000"/>
                  <a:lumOff val="95000"/>
                </a:schemeClr>
              </a:gs>
              <a:gs pos="34000">
                <a:srgbClr val="FFB4A2"/>
              </a:gs>
            </a:gsLst>
            <a:lin ang="5400000" scaled="1"/>
          </a:gradFill>
          <a:ln w="12700">
            <a:solidFill>
              <a:schemeClr val="bg1"/>
            </a:solidFill>
          </a:ln>
          <a:effectLst/>
        </c:spPr>
      </c:pivotFmt>
      <c:pivotFmt>
        <c:idx val="4"/>
        <c:spPr>
          <a:solidFill>
            <a:srgbClr val="FFE4D5"/>
          </a:solidFill>
          <a:ln w="127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F1E5D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7000">
                <a:schemeClr val="accent1">
                  <a:lumMod val="5000"/>
                  <a:lumOff val="95000"/>
                </a:schemeClr>
              </a:gs>
              <a:gs pos="62000">
                <a:srgbClr val="FFB4A2"/>
              </a:gs>
            </a:gsLst>
            <a:lin ang="5400000" scaled="1"/>
          </a:gradFill>
          <a:ln>
            <a:gradFill>
              <a:gsLst>
                <a:gs pos="0">
                  <a:schemeClr val="accent1">
                    <a:lumMod val="5000"/>
                    <a:lumOff val="95000"/>
                  </a:schemeClr>
                </a:gs>
                <a:gs pos="81000">
                  <a:srgbClr val="FFB4A2"/>
                </a:gs>
                <a:gs pos="83000">
                  <a:schemeClr val="accent1">
                    <a:lumMod val="45000"/>
                    <a:lumOff val="55000"/>
                  </a:schemeClr>
                </a:gs>
              </a:gsLst>
              <a:lin ang="5400000" scaled="1"/>
            </a:gradFill>
          </a:ln>
          <a:effectLst/>
        </c:spPr>
      </c:pivotFmt>
      <c:pivotFmt>
        <c:idx val="6"/>
        <c:spPr>
          <a:gradFill flip="none" rotWithShape="1">
            <a:gsLst>
              <a:gs pos="67000">
                <a:srgbClr val="FFCDB2"/>
              </a:gs>
              <a:gs pos="0">
                <a:schemeClr val="accent1">
                  <a:lumMod val="30000"/>
                  <a:lumOff val="70000"/>
                </a:schemeClr>
              </a:gs>
            </a:gsLst>
            <a:lin ang="5400000" scaled="1"/>
            <a:tileRect/>
          </a:gradFill>
          <a:ln w="12700">
            <a:solidFill>
              <a:schemeClr val="bg1"/>
            </a:solidFill>
          </a:ln>
          <a:effectLst/>
        </c:spPr>
      </c:pivotFmt>
      <c:pivotFmt>
        <c:idx val="7"/>
        <c:spPr>
          <a:gradFill>
            <a:gsLst>
              <a:gs pos="0">
                <a:schemeClr val="accent1">
                  <a:lumMod val="5000"/>
                  <a:lumOff val="95000"/>
                </a:schemeClr>
              </a:gs>
              <a:gs pos="34000">
                <a:srgbClr val="FFB4A2"/>
              </a:gs>
            </a:gsLst>
            <a:lin ang="5400000" scaled="1"/>
          </a:gradFill>
          <a:ln w="12700">
            <a:solidFill>
              <a:schemeClr val="bg1"/>
            </a:solidFill>
          </a:ln>
          <a:effectLst/>
        </c:spPr>
      </c:pivotFmt>
      <c:pivotFmt>
        <c:idx val="8"/>
        <c:spPr>
          <a:solidFill>
            <a:srgbClr val="FFE4D5"/>
          </a:solidFill>
          <a:ln w="127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F1E5D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E4D5"/>
          </a:solidFill>
          <a:ln w="127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F1E5D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FFE4D5"/>
            </a:solidFill>
            <a:ln w="12700">
              <a:solidFill>
                <a:schemeClr val="bg1"/>
              </a:solidFill>
            </a:ln>
            <a:effectLst/>
          </c:spPr>
          <c:invertIfNegative val="0"/>
          <c:dPt>
            <c:idx val="0"/>
            <c:invertIfNegative val="0"/>
            <c:bubble3D val="0"/>
            <c:extLst>
              <c:ext xmlns:c16="http://schemas.microsoft.com/office/drawing/2014/chart" uri="{C3380CC4-5D6E-409C-BE32-E72D297353CC}">
                <c16:uniqueId val="{00000000-C029-4EF5-B2AA-1A2FAC23CB86}"/>
              </c:ext>
            </c:extLst>
          </c:dPt>
          <c:dPt>
            <c:idx val="1"/>
            <c:invertIfNegative val="0"/>
            <c:bubble3D val="0"/>
            <c:extLst>
              <c:ext xmlns:c16="http://schemas.microsoft.com/office/drawing/2014/chart" uri="{C3380CC4-5D6E-409C-BE32-E72D297353CC}">
                <c16:uniqueId val="{00000001-C029-4EF5-B2AA-1A2FAC23CB86}"/>
              </c:ext>
            </c:extLst>
          </c:dPt>
          <c:dPt>
            <c:idx val="2"/>
            <c:invertIfNegative val="0"/>
            <c:bubble3D val="0"/>
            <c:extLst>
              <c:ext xmlns:c16="http://schemas.microsoft.com/office/drawing/2014/chart" uri="{C3380CC4-5D6E-409C-BE32-E72D297353CC}">
                <c16:uniqueId val="{00000002-C029-4EF5-B2AA-1A2FAC23CB86}"/>
              </c:ext>
            </c:extLst>
          </c:dPt>
          <c:dLbls>
            <c:spPr>
              <a:noFill/>
              <a:ln>
                <a:noFill/>
              </a:ln>
              <a:effectLst/>
            </c:spPr>
            <c:txPr>
              <a:bodyPr rot="0" spcFirstLastPara="1" vertOverflow="ellipsis" vert="horz" wrap="square" anchor="ctr" anchorCtr="1"/>
              <a:lstStyle/>
              <a:p>
                <a:pPr>
                  <a:defRPr sz="900" b="0" i="0" u="none" strike="noStrike" kern="1200" baseline="0">
                    <a:solidFill>
                      <a:srgbClr val="F1E5D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"₹"#,##0_);\("₹"#,##0\)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C029-4EF5-B2AA-1A2FAC23CB86}"/>
            </c:ext>
          </c:extLst>
        </c:ser>
        <c:dLbls>
          <c:showLegendKey val="0"/>
          <c:showVal val="0"/>
          <c:showCatName val="0"/>
          <c:showSerName val="0"/>
          <c:showPercent val="0"/>
          <c:showBubbleSize val="0"/>
        </c:dLbls>
        <c:gapWidth val="182"/>
        <c:axId val="1410520575"/>
        <c:axId val="1410521535"/>
      </c:barChart>
      <c:catAx>
        <c:axId val="14105205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1E5D1"/>
                </a:solidFill>
                <a:latin typeface="+mn-lt"/>
                <a:ea typeface="+mn-ea"/>
                <a:cs typeface="+mn-cs"/>
              </a:defRPr>
            </a:pPr>
            <a:endParaRPr lang="en-US"/>
          </a:p>
        </c:txPr>
        <c:crossAx val="1410521535"/>
        <c:crosses val="autoZero"/>
        <c:auto val="1"/>
        <c:lblAlgn val="ctr"/>
        <c:lblOffset val="100"/>
        <c:noMultiLvlLbl val="0"/>
      </c:catAx>
      <c:valAx>
        <c:axId val="1410521535"/>
        <c:scaling>
          <c:orientation val="minMax"/>
        </c:scaling>
        <c:delete val="0"/>
        <c:axPos val="b"/>
        <c:majorGridlines>
          <c:spPr>
            <a:ln w="9525" cap="flat" cmpd="sng" algn="ctr">
              <a:solidFill>
                <a:schemeClr val="tx1">
                  <a:lumMod val="15000"/>
                  <a:lumOff val="85000"/>
                </a:schemeClr>
              </a:soli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1E5D1"/>
                </a:solidFill>
                <a:latin typeface="+mn-lt"/>
                <a:ea typeface="+mn-ea"/>
                <a:cs typeface="+mn-cs"/>
              </a:defRPr>
            </a:pPr>
            <a:endParaRPr lang="en-US"/>
          </a:p>
        </c:txPr>
        <c:crossAx val="1410520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87070"/>
    </a:solidFill>
    <a:ln w="9525" cap="flat" cmpd="sng" algn="ctr">
      <a:solidFill>
        <a:schemeClr val="tx1">
          <a:lumMod val="15000"/>
          <a:lumOff val="85000"/>
        </a:schemeClr>
      </a:solidFill>
      <a:round/>
    </a:ln>
    <a:effectLst/>
  </c:spPr>
  <c:txPr>
    <a:bodyPr/>
    <a:lstStyle/>
    <a:p>
      <a:pPr>
        <a:defRPr>
          <a:solidFill>
            <a:srgbClr val="F1E5D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129701</xdr:colOff>
      <xdr:row>1</xdr:row>
      <xdr:rowOff>0</xdr:rowOff>
    </xdr:from>
    <xdr:to>
      <xdr:col>27</xdr:col>
      <xdr:colOff>-1</xdr:colOff>
      <xdr:row>6</xdr:row>
      <xdr:rowOff>0</xdr:rowOff>
    </xdr:to>
    <xdr:sp macro="" textlink="">
      <xdr:nvSpPr>
        <xdr:cNvPr id="3" name="TextBox 2">
          <a:extLst>
            <a:ext uri="{FF2B5EF4-FFF2-40B4-BE49-F238E27FC236}">
              <a16:creationId xmlns:a16="http://schemas.microsoft.com/office/drawing/2014/main" id="{64121909-0C0E-B10D-B66F-48FB9177B483}"/>
            </a:ext>
          </a:extLst>
        </xdr:cNvPr>
        <xdr:cNvSpPr txBox="1"/>
      </xdr:nvSpPr>
      <xdr:spPr>
        <a:xfrm>
          <a:off x="129701" y="64851"/>
          <a:ext cx="17201745" cy="891702"/>
        </a:xfrm>
        <a:prstGeom prst="rect">
          <a:avLst/>
        </a:prstGeom>
        <a:solidFill>
          <a:srgbClr val="6F4D3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a:solidFill>
                <a:srgbClr val="F1E5D1"/>
              </a:solidFill>
            </a:rPr>
            <a:t>COFFEE SALES DASHBOARD</a:t>
          </a:r>
        </a:p>
      </xdr:txBody>
    </xdr:sp>
    <xdr:clientData/>
  </xdr:twoCellAnchor>
  <xdr:twoCellAnchor>
    <xdr:from>
      <xdr:col>1</xdr:col>
      <xdr:colOff>0</xdr:colOff>
      <xdr:row>17</xdr:row>
      <xdr:rowOff>0</xdr:rowOff>
    </xdr:from>
    <xdr:to>
      <xdr:col>20</xdr:col>
      <xdr:colOff>0</xdr:colOff>
      <xdr:row>46</xdr:row>
      <xdr:rowOff>88900</xdr:rowOff>
    </xdr:to>
    <xdr:graphicFrame macro="">
      <xdr:nvGraphicFramePr>
        <xdr:cNvPr id="4" name="Chart 3">
          <a:extLst>
            <a:ext uri="{FF2B5EF4-FFF2-40B4-BE49-F238E27FC236}">
              <a16:creationId xmlns:a16="http://schemas.microsoft.com/office/drawing/2014/main" id="{A386097F-3417-4B1A-B301-B6FD8D0E4E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xdr:colOff>
      <xdr:row>6</xdr:row>
      <xdr:rowOff>96980</xdr:rowOff>
    </xdr:from>
    <xdr:to>
      <xdr:col>20</xdr:col>
      <xdr:colOff>0</xdr:colOff>
      <xdr:row>16</xdr:row>
      <xdr:rowOff>2308</xdr:rowOff>
    </xdr:to>
    <mc:AlternateContent xmlns:mc="http://schemas.openxmlformats.org/markup-compatibility/2006">
      <mc:Choice xmlns:tsle="http://schemas.microsoft.com/office/drawing/2012/timeslicer" Requires="tsle">
        <xdr:graphicFrame macro="">
          <xdr:nvGraphicFramePr>
            <xdr:cNvPr id="5" name="Order Date">
              <a:extLst>
                <a:ext uri="{FF2B5EF4-FFF2-40B4-BE49-F238E27FC236}">
                  <a16:creationId xmlns:a16="http://schemas.microsoft.com/office/drawing/2014/main" id="{E430E060-3136-464C-883D-6D21FE4A3166}"/>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25105" y="1056076"/>
              <a:ext cx="11668835" cy="186912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21</xdr:col>
      <xdr:colOff>0</xdr:colOff>
      <xdr:row>12</xdr:row>
      <xdr:rowOff>7355</xdr:rowOff>
    </xdr:from>
    <xdr:to>
      <xdr:col>25</xdr:col>
      <xdr:colOff>210766</xdr:colOff>
      <xdr:row>16</xdr:row>
      <xdr:rowOff>16932</xdr:rowOff>
    </xdr:to>
    <mc:AlternateContent xmlns:mc="http://schemas.openxmlformats.org/markup-compatibility/2006">
      <mc:Choice xmlns:a14="http://schemas.microsoft.com/office/drawing/2010/main" Requires="a14">
        <xdr:graphicFrame macro="">
          <xdr:nvGraphicFramePr>
            <xdr:cNvPr id="6" name="Size">
              <a:extLst>
                <a:ext uri="{FF2B5EF4-FFF2-40B4-BE49-F238E27FC236}">
                  <a16:creationId xmlns:a16="http://schemas.microsoft.com/office/drawing/2014/main" id="{D0C0C915-51D9-4CEA-9F0E-EAEE72004D66}"/>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1941791" y="1974907"/>
              <a:ext cx="2667363" cy="9649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xdr:colOff>
      <xdr:row>7</xdr:row>
      <xdr:rowOff>0</xdr:rowOff>
    </xdr:from>
    <xdr:to>
      <xdr:col>27</xdr:col>
      <xdr:colOff>6854</xdr:colOff>
      <xdr:row>11</xdr:row>
      <xdr:rowOff>64852</xdr:rowOff>
    </xdr:to>
    <mc:AlternateContent xmlns:mc="http://schemas.openxmlformats.org/markup-compatibility/2006">
      <mc:Choice xmlns:a14="http://schemas.microsoft.com/office/drawing/2010/main" Requires="a14">
        <xdr:graphicFrame macro="">
          <xdr:nvGraphicFramePr>
            <xdr:cNvPr id="7" name="Roast Type Name">
              <a:extLst>
                <a:ext uri="{FF2B5EF4-FFF2-40B4-BE49-F238E27FC236}">
                  <a16:creationId xmlns:a16="http://schemas.microsoft.com/office/drawing/2014/main" id="{83988294-1E05-43EB-972C-985F1C66B7F3}"/>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1941790" y="1057701"/>
              <a:ext cx="5352228" cy="7927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324256</xdr:colOff>
      <xdr:row>12</xdr:row>
      <xdr:rowOff>16213</xdr:rowOff>
    </xdr:from>
    <xdr:to>
      <xdr:col>27</xdr:col>
      <xdr:colOff>0</xdr:colOff>
      <xdr:row>16</xdr:row>
      <xdr:rowOff>570</xdr:rowOff>
    </xdr:to>
    <mc:AlternateContent xmlns:mc="http://schemas.openxmlformats.org/markup-compatibility/2006">
      <mc:Choice xmlns:a14="http://schemas.microsoft.com/office/drawing/2010/main" Requires="a14">
        <xdr:graphicFrame macro="">
          <xdr:nvGraphicFramePr>
            <xdr:cNvPr id="8" name="Loyalty Card">
              <a:extLst>
                <a:ext uri="{FF2B5EF4-FFF2-40B4-BE49-F238E27FC236}">
                  <a16:creationId xmlns:a16="http://schemas.microsoft.com/office/drawing/2014/main" id="{2CCF8A0F-2059-4F2B-97AF-632C18C8FCCE}"/>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4722644" y="1983765"/>
              <a:ext cx="2564520" cy="9397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0</xdr:colOff>
      <xdr:row>16</xdr:row>
      <xdr:rowOff>128443</xdr:rowOff>
    </xdr:from>
    <xdr:to>
      <xdr:col>27</xdr:col>
      <xdr:colOff>0</xdr:colOff>
      <xdr:row>30</xdr:row>
      <xdr:rowOff>0</xdr:rowOff>
    </xdr:to>
    <xdr:graphicFrame macro="">
      <xdr:nvGraphicFramePr>
        <xdr:cNvPr id="9" name="Chart 8">
          <a:extLst>
            <a:ext uri="{FF2B5EF4-FFF2-40B4-BE49-F238E27FC236}">
              <a16:creationId xmlns:a16="http://schemas.microsoft.com/office/drawing/2014/main" id="{F4B131E5-95F4-4F5B-899E-9372F908D8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9349</xdr:colOff>
      <xdr:row>30</xdr:row>
      <xdr:rowOff>62303</xdr:rowOff>
    </xdr:from>
    <xdr:to>
      <xdr:col>27</xdr:col>
      <xdr:colOff>4792</xdr:colOff>
      <xdr:row>46</xdr:row>
      <xdr:rowOff>81064</xdr:rowOff>
    </xdr:to>
    <xdr:graphicFrame macro="">
      <xdr:nvGraphicFramePr>
        <xdr:cNvPr id="10" name="Chart 9">
          <a:extLst>
            <a:ext uri="{FF2B5EF4-FFF2-40B4-BE49-F238E27FC236}">
              <a16:creationId xmlns:a16="http://schemas.microsoft.com/office/drawing/2014/main" id="{E0844B24-E437-42DA-BA94-2C244F7D66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 Singh" refreshedDate="46034.710028819442" createdVersion="8" refreshedVersion="8" minRefreshableVersion="3" recordCount="1000" xr:uid="{2B892085-1C65-437C-89C9-FED1B8C0F395}">
  <cacheSource type="worksheet">
    <worksheetSource name="Table1"/>
  </cacheSource>
  <cacheFields count="18">
    <cacheField name="Order ID" numFmtId="0">
      <sharedItems/>
    </cacheField>
    <cacheField name="Order Date" numFmtId="166">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71">
      <sharedItems containsSemiMixedTypes="0" containsString="0" containsNumber="1" minValue="0.2" maxValue="2.5" count="4">
        <n v="1"/>
        <n v="0.5"/>
        <n v="2.5"/>
        <n v="0.2"/>
      </sharedItems>
    </cacheField>
    <cacheField name="Unit Price" numFmtId="44">
      <sharedItems containsSemiMixedTypes="0" containsString="0" containsNumber="1" minValue="2.6849999999999996" maxValue="36.454999999999998"/>
    </cacheField>
    <cacheField name="Sales" numFmtId="170">
      <sharedItems containsSemiMixedTypes="0" containsString="0" containsNumber="1" minValue="2.6849999999999996" maxValue="218.73"/>
    </cacheField>
    <cacheField name="Coffee Type Name" numFmtId="0">
      <sharedItems count="4">
        <s v="Robusta"/>
        <s v="Excelsa"/>
        <s v="Arabica"/>
        <s v="Lib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4030241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75FA0D7-CB8F-412D-BABF-073B62EB3775}" name="Total Sales" cacheId="18"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8">
  <location ref="A3:F48" firstHeaderRow="1" firstDataRow="2" firstDataCol="2"/>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71" outline="0" showAll="0" defaultSubtotal="0">
      <items count="4">
        <item x="3"/>
        <item x="1"/>
        <item x="0"/>
        <item x="2"/>
      </items>
    </pivotField>
    <pivotField compact="0" numFmtId="44" outline="0" showAll="0" defaultSubtotal="0"/>
    <pivotField dataField="1" compact="0" numFmtId="170"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2" numFmtId="172"/>
  </dataFields>
  <chartFormats count="4">
    <chartFormat chart="17" format="8" series="1">
      <pivotArea type="data" outline="0" fieldPosition="0">
        <references count="2">
          <reference field="4294967294" count="1" selected="0">
            <x v="0"/>
          </reference>
          <reference field="13" count="1" selected="0">
            <x v="0"/>
          </reference>
        </references>
      </pivotArea>
    </chartFormat>
    <chartFormat chart="17" format="9" series="1">
      <pivotArea type="data" outline="0" fieldPosition="0">
        <references count="2">
          <reference field="4294967294" count="1" selected="0">
            <x v="0"/>
          </reference>
          <reference field="13" count="1" selected="0">
            <x v="1"/>
          </reference>
        </references>
      </pivotArea>
    </chartFormat>
    <chartFormat chart="17" format="10" series="1">
      <pivotArea type="data" outline="0" fieldPosition="0">
        <references count="2">
          <reference field="4294967294" count="1" selected="0">
            <x v="0"/>
          </reference>
          <reference field="13" count="1" selected="0">
            <x v="2"/>
          </reference>
        </references>
      </pivotArea>
    </chartFormat>
    <chartFormat chart="17"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1A25DA4-2DE5-4FAF-A722-66A71E4CE683}" name="Total Sales" cacheId="18"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3">
  <location ref="A3:B6" firstHeaderRow="1" firstDataRow="1" firstDataCol="1"/>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71" outline="0" showAll="0" defaultSubtotal="0">
      <items count="4">
        <item x="3"/>
        <item x="1"/>
        <item x="0"/>
        <item x="2"/>
      </items>
    </pivotField>
    <pivotField compact="0" numFmtId="44" outline="0" showAll="0" defaultSubtotal="0"/>
    <pivotField dataField="1" compact="0" numFmtId="170"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2" numFmtId="5"/>
  </dataFields>
  <chartFormats count="4">
    <chartFormat chart="21" format="8" series="1">
      <pivotArea type="data" outline="0" fieldPosition="0">
        <references count="1">
          <reference field="4294967294" count="1" selected="0">
            <x v="0"/>
          </reference>
        </references>
      </pivotArea>
    </chartFormat>
    <chartFormat chart="21" format="9">
      <pivotArea type="data" outline="0" fieldPosition="0">
        <references count="2">
          <reference field="4294967294" count="1" selected="0">
            <x v="0"/>
          </reference>
          <reference field="7" count="1" selected="0">
            <x v="1"/>
          </reference>
        </references>
      </pivotArea>
    </chartFormat>
    <chartFormat chart="21" format="10">
      <pivotArea type="data" outline="0" fieldPosition="0">
        <references count="2">
          <reference field="4294967294" count="1" selected="0">
            <x v="0"/>
          </reference>
          <reference field="7" count="1" selected="0">
            <x v="0"/>
          </reference>
        </references>
      </pivotArea>
    </chartFormat>
    <chartFormat chart="21"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7687D66-A11C-4D71-BD66-97BA8D70E86F}" name="Total Sales" cacheId="18"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3">
  <location ref="A3:B8" firstHeaderRow="1" firstDataRow="1" firstDataCol="1"/>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71" outline="0" showAll="0" defaultSubtotal="0">
      <items count="4">
        <item x="3"/>
        <item x="1"/>
        <item x="0"/>
        <item x="2"/>
      </items>
    </pivotField>
    <pivotField compact="0" numFmtId="44" outline="0" showAll="0" defaultSubtotal="0"/>
    <pivotField dataField="1" compact="0" numFmtId="170"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2" numFmtId="5"/>
  </dataFields>
  <chartFormats count="3">
    <chartFormat chart="13" format="8"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2"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47"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FD9ADC30-2BAB-4AFE-8700-2167D1E5B7AE}" sourceName="Size">
  <pivotTables>
    <pivotTable tabId="18" name="Total Sales"/>
    <pivotTable tabId="19" name="Total Sales"/>
    <pivotTable tabId="20" name="Total Sales"/>
  </pivotTables>
  <data>
    <tabular pivotCacheId="403024197">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C302104D-CF6B-443A-B563-76DA0588DD5D}" sourceName="Roast Type Name">
  <pivotTables>
    <pivotTable tabId="18" name="Total Sales"/>
    <pivotTable tabId="19" name="Total Sales"/>
    <pivotTable tabId="20" name="Total Sales"/>
  </pivotTables>
  <data>
    <tabular pivotCacheId="403024197">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0E413C10-FAB9-4F8C-847B-44AA9B5AA252}" sourceName="Loyalty Card">
  <pivotTables>
    <pivotTable tabId="18" name="Total Sales"/>
    <pivotTable tabId="19" name="Total Sales"/>
    <pivotTable tabId="20" name="Total Sales"/>
  </pivotTables>
  <data>
    <tabular pivotCacheId="403024197">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E024408E-678D-4943-82A0-4429F7120CD5}" cache="Slicer_Size" caption="Size" columnCount="2" style="Coffee Slicer Style" rowHeight="234950"/>
  <slicer name="Roast Type Name" xr10:uid="{24651D49-B0A3-4780-929B-8F840D60BE08}" cache="Slicer_Roast_Type_Name" caption="Roast Type Name" columnCount="3" style="Coffee Slicer Style" rowHeight="234950"/>
  <slicer name="Loyalty Card" xr10:uid="{A460C454-ED35-4D52-BC0D-44F00D8811D2}" cache="Slicer_Loyalty_Card" caption="Loyalty Card" style="Coffee Slicer Styl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B67DB37-307F-46EB-B62B-E4DEA278E064}" name="Table1" displayName="Table1" ref="A1:P1001" totalsRowShown="0" headerRowDxfId="16">
  <autoFilter ref="A1:P1001" xr:uid="{BB67DB37-307F-46EB-B62B-E4DEA278E064}"/>
  <tableColumns count="16">
    <tableColumn id="1" xr3:uid="{627FAEB8-3BDD-4FDF-864F-55D25328ED02}" name="Order ID" dataDxfId="26"/>
    <tableColumn id="2" xr3:uid="{FC51E80F-F288-4FE9-A504-7D65BCBE661D}" name="Order Date" dataDxfId="25"/>
    <tableColumn id="3" xr3:uid="{D3ED20ED-5F8A-409E-AFBA-E983CF17BBC1}" name="Customer ID" dataDxfId="24"/>
    <tableColumn id="4" xr3:uid="{E37843B6-306F-483F-B1FB-0C78B4EFC6A2}" name="Product ID"/>
    <tableColumn id="5" xr3:uid="{F8F4F749-BC1D-47A2-908E-8A5505AFB13C}" name="Quantity" dataDxfId="23"/>
    <tableColumn id="6" xr3:uid="{FDA3BC8E-2259-4886-89AB-A9597CD58648}" name="Customer Name" dataDxfId="22">
      <calculatedColumnFormula>_xlfn.XLOOKUP(C2,customers!$A$1:$A$1001,customers!$B$1:$B$1001,,0)</calculatedColumnFormula>
    </tableColumn>
    <tableColumn id="7" xr3:uid="{F7C966F5-1ACF-4E67-821E-C6898C5E2DA1}" name="Email" dataDxfId="21">
      <calculatedColumnFormula>IF(_xlfn.XLOOKUP(C2,customers!$A$1:$A$1001,customers!$C$1:$C$1001,,0)=0,"",_xlfn.XLOOKUP(C2,customers!$A$1:$A$1001,customers!$C$1:$C$1001,,0))</calculatedColumnFormula>
    </tableColumn>
    <tableColumn id="8" xr3:uid="{DBD6EF31-3FAA-4643-9B85-EBDAFC67FF03}" name="Country" dataDxfId="20">
      <calculatedColumnFormula>_xlfn.XLOOKUP(C2,customers!$A$1:$A$1001,customers!$G$1:$G$1001,,0)</calculatedColumnFormula>
    </tableColumn>
    <tableColumn id="9" xr3:uid="{834F2440-F3E0-4A54-ADFB-47A16E082CAD}" name="Coffee Type">
      <calculatedColumnFormula>INDEX(products!$A$1:$G$49,MATCH(orders!$D2,products!$A$1:$A$49,0),MATCH(orders!I$1,products!$A$1:$G$1,0))</calculatedColumnFormula>
    </tableColumn>
    <tableColumn id="10" xr3:uid="{12567A7D-060C-421F-9466-EF48561BC063}" name="Roast Type">
      <calculatedColumnFormula>INDEX(products!$A$1:$G$49,MATCH(orders!$D2,products!$A$1:$A$49,0),MATCH(orders!J$1,products!$A$1:$G$1,0))</calculatedColumnFormula>
    </tableColumn>
    <tableColumn id="11" xr3:uid="{44E28CAC-97B2-4D57-9BE1-5262A31E47D3}" name="Size" dataDxfId="19">
      <calculatedColumnFormula>INDEX(products!$A$1:$G$49,MATCH(orders!$D2,products!$A$1:$A$49,0),MATCH(orders!K$1,products!$A$1:$G$1,0))</calculatedColumnFormula>
    </tableColumn>
    <tableColumn id="12" xr3:uid="{1BDAFA20-FF25-4096-8240-BE55153D716B}" name="Unit Price" dataDxfId="18">
      <calculatedColumnFormula>INDEX(products!$A$1:$G$49,MATCH(orders!$D2,products!$A$1:$A$49,0),MATCH(orders!L$1,products!$A$1:$G$1,0))</calculatedColumnFormula>
    </tableColumn>
    <tableColumn id="13" xr3:uid="{9646FA75-915F-4FD2-A8A6-9F57E35A4AFC}" name="Sales" dataDxfId="17">
      <calculatedColumnFormula>L2*E2</calculatedColumnFormula>
    </tableColumn>
    <tableColumn id="14" xr3:uid="{6FD550C6-9924-4AE2-A5C2-25A0278F0504}" name="Coffee Type Name">
      <calculatedColumnFormula>IF(I2="Rob","Robusta",IF(I2="Exc","Excelsa",IF(I2="Ara","Arabica",IF(I2="Lib","Librica",""))))</calculatedColumnFormula>
    </tableColumn>
    <tableColumn id="15" xr3:uid="{2002F814-CF79-4FB1-AA0B-3FF7E1507F04}" name="Roast Type Name">
      <calculatedColumnFormula>IF(J2="M","Medium",IF(J2="L","Light",IF(J2="D","Dark","")))</calculatedColumnFormula>
    </tableColumn>
    <tableColumn id="16" xr3:uid="{92444A95-A4E7-4D85-B654-1E57BF42E946}" name="Loyalty Card" dataDxfId="15">
      <calculatedColumnFormula>_xlfn.XLOOKUP(Table1[[#This Row],[Customer ID]],customers!$A$1:$A$1001,customers!$I$1:$I$1001,,0)</calculatedColumnFormula>
    </tableColumn>
  </tableColumns>
  <tableStyleInfo name="TableStyleLight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EE2ED9D-E7A1-4443-A5B1-5EBCD5D774FB}" name="Table3" displayName="Table3" ref="A1:I1001" totalsRowShown="0" headerRowDxfId="0" dataDxfId="1">
  <autoFilter ref="A1:I1001" xr:uid="{AEE2ED9D-E7A1-4443-A5B1-5EBCD5D774FB}"/>
  <tableColumns count="9">
    <tableColumn id="1" xr3:uid="{4F6BD9C8-F785-4903-A7D0-97EECE48FCAB}" name="Customer ID" dataDxfId="9"/>
    <tableColumn id="2" xr3:uid="{B9FB92BC-5712-49F0-B9CE-B907CD1D3D94}" name="Customer Name" dataDxfId="8"/>
    <tableColumn id="3" xr3:uid="{98FB1351-E694-4303-B7F0-F647122AADBD}" name="Email" dataDxfId="7"/>
    <tableColumn id="4" xr3:uid="{3A74050C-9742-4704-AA73-5D2EBBB611CB}" name="Phone Number" dataDxfId="6"/>
    <tableColumn id="5" xr3:uid="{20BD3B84-C3D6-4D18-B150-6B4070A14D96}" name="Address Line 1" dataDxfId="5"/>
    <tableColumn id="6" xr3:uid="{D4A78827-521A-49FF-8CE0-672281E76ABA}" name="City" dataDxfId="4"/>
    <tableColumn id="7" xr3:uid="{0374A8A5-8F15-4FD2-BAEF-D865A0D755D9}" name="Country" dataDxfId="3"/>
    <tableColumn id="8" xr3:uid="{D7E9DB35-7DEB-4086-B7A5-C120B66C5BA4}" name="Postcode" dataDxfId="2"/>
    <tableColumn id="9" xr3:uid="{9BA03B3A-E8C4-4869-A64E-8A49736CBEAF}" name="Loyalty Card"/>
  </tableColumns>
  <tableStyleInfo name="TableStyleLight1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2D87002-1EF8-46C5-A2B7-24CCA1485DEC}" name="Table2" displayName="Table2" ref="A1:G49" totalsRowShown="0">
  <autoFilter ref="A1:G49" xr:uid="{D2D87002-1EF8-46C5-A2B7-24CCA1485DEC}"/>
  <tableColumns count="7">
    <tableColumn id="1" xr3:uid="{EB945ADD-E2CF-46DC-B692-786C6D229BD7}" name="Product ID"/>
    <tableColumn id="2" xr3:uid="{25220B48-E3B9-4509-9C40-3DF1860BEB7E}" name="Coffee Type"/>
    <tableColumn id="3" xr3:uid="{F7E4E533-D95E-4AE6-A3F3-96B2F19D6014}" name="Roast Type"/>
    <tableColumn id="4" xr3:uid="{D96B1A26-92A4-4C47-9F05-452E48352A2E}" name="Size" dataDxfId="10"/>
    <tableColumn id="5" xr3:uid="{9A3A4E43-A7FE-4917-8D1C-7FDC68D8DEC7}" name="Unit Price"/>
    <tableColumn id="6" xr3:uid="{05232975-D7B0-41E4-86F8-37ED2D309050}" name="Price per 100g"/>
    <tableColumn id="7" xr3:uid="{7389D506-A3F5-42E6-9D37-90D92072523D}" name="Profit"/>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54CC9D4D-7364-45C8-A9E3-54EC8BB69897}" sourceName="Order Date">
  <pivotTables>
    <pivotTable tabId="18" name="Total Sales"/>
    <pivotTable tabId="19" name="Total Sales"/>
    <pivotTable tabId="20" name="Total Sales"/>
  </pivotTables>
  <state minimalRefreshVersion="6" lastRefreshVersion="6" pivotCacheId="403024197"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BFE4E332-8EE0-467F-824E-7167E0241165}" cache="NativeTimeline_Order_Date" caption="Order Date" level="2" selectionLevel="2" scrollPosition="2019-01-01T00:00:00" style="Coffee Timeline Style"/>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7B1E9-969C-4BEB-826A-80EB6A0F95E3}">
  <sheetPr>
    <pageSetUpPr fitToPage="1"/>
  </sheetPr>
  <dimension ref="A1:A17"/>
  <sheetViews>
    <sheetView showGridLines="0" tabSelected="1" zoomScale="67" workbookViewId="0">
      <selection activeCell="P49" sqref="P49"/>
    </sheetView>
  </sheetViews>
  <sheetFormatPr defaultRowHeight="14.4" x14ac:dyDescent="0.3"/>
  <cols>
    <col min="1" max="1" width="1.77734375" customWidth="1"/>
    <col min="21" max="21" width="2.109375" customWidth="1"/>
    <col min="26" max="26" width="33.109375" customWidth="1"/>
  </cols>
  <sheetData>
    <row r="1" ht="4.95" customHeight="1" x14ac:dyDescent="0.3"/>
    <row r="7" ht="7.2" customHeight="1" x14ac:dyDescent="0.3"/>
    <row r="15" ht="31.8" customHeight="1" x14ac:dyDescent="0.3"/>
    <row r="17" ht="10.199999999999999" customHeight="1" x14ac:dyDescent="0.3"/>
  </sheetData>
  <printOptions horizontalCentered="1" verticalCentered="1"/>
  <pageMargins left="0.39370078740157483" right="0.39370078740157483" top="0.39370078740157483" bottom="0.39370078740157483" header="0.39370078740157483" footer="0.39370078740157483"/>
  <pageSetup paperSize="66" fitToHeight="0"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74262-DE89-4967-A3D0-7DE9934483EA}">
  <dimension ref="A3:F48"/>
  <sheetViews>
    <sheetView zoomScale="69" workbookViewId="0">
      <selection activeCell="D10" sqref="D10"/>
    </sheetView>
  </sheetViews>
  <sheetFormatPr defaultRowHeight="14.4" x14ac:dyDescent="0.3"/>
  <cols>
    <col min="1" max="1" width="12.5546875" bestFit="1" customWidth="1"/>
    <col min="2" max="2" width="23.109375" bestFit="1" customWidth="1"/>
    <col min="3" max="3" width="20.77734375" bestFit="1" customWidth="1"/>
    <col min="4" max="4" width="7.21875" bestFit="1" customWidth="1"/>
    <col min="5" max="5" width="6.6640625" bestFit="1" customWidth="1"/>
    <col min="6" max="6" width="8.109375" bestFit="1" customWidth="1"/>
  </cols>
  <sheetData>
    <row r="3" spans="1:6" x14ac:dyDescent="0.3">
      <c r="A3" s="7" t="s">
        <v>6198</v>
      </c>
      <c r="C3" s="7" t="s">
        <v>6196</v>
      </c>
    </row>
    <row r="4" spans="1:6" x14ac:dyDescent="0.3">
      <c r="A4" s="7" t="s">
        <v>6215</v>
      </c>
      <c r="B4" s="7" t="s">
        <v>6216</v>
      </c>
      <c r="C4" t="s">
        <v>6217</v>
      </c>
      <c r="D4" t="s">
        <v>6218</v>
      </c>
      <c r="E4" t="s">
        <v>6219</v>
      </c>
      <c r="F4" t="s">
        <v>6220</v>
      </c>
    </row>
    <row r="5" spans="1:6" x14ac:dyDescent="0.3">
      <c r="A5" t="s">
        <v>6199</v>
      </c>
      <c r="B5" t="s">
        <v>6203</v>
      </c>
      <c r="C5" s="8">
        <v>186.85499999999999</v>
      </c>
      <c r="D5" s="8">
        <v>305.97000000000003</v>
      </c>
      <c r="E5" s="8">
        <v>213.15999999999997</v>
      </c>
      <c r="F5" s="8">
        <v>123</v>
      </c>
    </row>
    <row r="6" spans="1:6" x14ac:dyDescent="0.3">
      <c r="B6" t="s">
        <v>6204</v>
      </c>
      <c r="C6" s="8">
        <v>251.96499999999997</v>
      </c>
      <c r="D6" s="8">
        <v>129.46</v>
      </c>
      <c r="E6" s="8">
        <v>434.03999999999996</v>
      </c>
      <c r="F6" s="8">
        <v>171.93999999999997</v>
      </c>
    </row>
    <row r="7" spans="1:6" x14ac:dyDescent="0.3">
      <c r="B7" t="s">
        <v>6205</v>
      </c>
      <c r="C7" s="8">
        <v>224.94499999999999</v>
      </c>
      <c r="D7" s="8">
        <v>349.12</v>
      </c>
      <c r="E7" s="8">
        <v>321.04000000000002</v>
      </c>
      <c r="F7" s="8">
        <v>126.035</v>
      </c>
    </row>
    <row r="8" spans="1:6" x14ac:dyDescent="0.3">
      <c r="B8" t="s">
        <v>6206</v>
      </c>
      <c r="C8" s="8">
        <v>307.12</v>
      </c>
      <c r="D8" s="8">
        <v>681.07499999999993</v>
      </c>
      <c r="E8" s="8">
        <v>533.70499999999993</v>
      </c>
      <c r="F8" s="8">
        <v>158.85</v>
      </c>
    </row>
    <row r="9" spans="1:6" x14ac:dyDescent="0.3">
      <c r="B9" t="s">
        <v>6207</v>
      </c>
      <c r="C9" s="8">
        <v>53.664999999999992</v>
      </c>
      <c r="D9" s="8">
        <v>83.025000000000006</v>
      </c>
      <c r="E9" s="8">
        <v>193.83499999999998</v>
      </c>
      <c r="F9" s="8">
        <v>68.039999999999992</v>
      </c>
    </row>
    <row r="10" spans="1:6" x14ac:dyDescent="0.3">
      <c r="B10" t="s">
        <v>6208</v>
      </c>
      <c r="C10" s="8">
        <v>163.01999999999998</v>
      </c>
      <c r="D10" s="8">
        <v>678.3599999999999</v>
      </c>
      <c r="E10" s="8">
        <v>171.04500000000002</v>
      </c>
      <c r="F10" s="8">
        <v>372.255</v>
      </c>
    </row>
    <row r="11" spans="1:6" x14ac:dyDescent="0.3">
      <c r="B11" t="s">
        <v>6209</v>
      </c>
      <c r="C11" s="8">
        <v>345.02</v>
      </c>
      <c r="D11" s="8">
        <v>273.86999999999995</v>
      </c>
      <c r="E11" s="8">
        <v>184.12999999999997</v>
      </c>
      <c r="F11" s="8">
        <v>201.11499999999998</v>
      </c>
    </row>
    <row r="12" spans="1:6" x14ac:dyDescent="0.3">
      <c r="B12" t="s">
        <v>6210</v>
      </c>
      <c r="C12" s="8">
        <v>334.89</v>
      </c>
      <c r="D12" s="8">
        <v>70.95</v>
      </c>
      <c r="E12" s="8">
        <v>134.23000000000002</v>
      </c>
      <c r="F12" s="8">
        <v>166.27499999999998</v>
      </c>
    </row>
    <row r="13" spans="1:6" x14ac:dyDescent="0.3">
      <c r="B13" t="s">
        <v>6211</v>
      </c>
      <c r="C13" s="8">
        <v>178.70999999999998</v>
      </c>
      <c r="D13" s="8">
        <v>166.1</v>
      </c>
      <c r="E13" s="8">
        <v>439.30999999999995</v>
      </c>
      <c r="F13" s="8">
        <v>492.9</v>
      </c>
    </row>
    <row r="14" spans="1:6" x14ac:dyDescent="0.3">
      <c r="B14" t="s">
        <v>6212</v>
      </c>
      <c r="C14" s="8">
        <v>301.98500000000001</v>
      </c>
      <c r="D14" s="8">
        <v>153.76499999999999</v>
      </c>
      <c r="E14" s="8">
        <v>215.55499999999998</v>
      </c>
      <c r="F14" s="8">
        <v>213.66499999999999</v>
      </c>
    </row>
    <row r="15" spans="1:6" x14ac:dyDescent="0.3">
      <c r="B15" t="s">
        <v>6213</v>
      </c>
      <c r="C15" s="8">
        <v>312.83499999999998</v>
      </c>
      <c r="D15" s="8">
        <v>63.249999999999993</v>
      </c>
      <c r="E15" s="8">
        <v>350.89500000000004</v>
      </c>
      <c r="F15" s="8">
        <v>96.405000000000001</v>
      </c>
    </row>
    <row r="16" spans="1:6" x14ac:dyDescent="0.3">
      <c r="B16" t="s">
        <v>6214</v>
      </c>
      <c r="C16" s="8">
        <v>265.62</v>
      </c>
      <c r="D16" s="8">
        <v>526.51499999999987</v>
      </c>
      <c r="E16" s="8">
        <v>187.06</v>
      </c>
      <c r="F16" s="8">
        <v>210.58999999999997</v>
      </c>
    </row>
    <row r="17" spans="1:6" x14ac:dyDescent="0.3">
      <c r="A17" t="s">
        <v>6200</v>
      </c>
      <c r="B17" t="s">
        <v>6203</v>
      </c>
      <c r="C17" s="8">
        <v>47.25</v>
      </c>
      <c r="D17" s="8">
        <v>65.805000000000007</v>
      </c>
      <c r="E17" s="8">
        <v>274.67500000000001</v>
      </c>
      <c r="F17" s="8">
        <v>179.22</v>
      </c>
    </row>
    <row r="18" spans="1:6" x14ac:dyDescent="0.3">
      <c r="B18" t="s">
        <v>6204</v>
      </c>
      <c r="C18" s="8">
        <v>745.44999999999993</v>
      </c>
      <c r="D18" s="8">
        <v>428.88499999999999</v>
      </c>
      <c r="E18" s="8">
        <v>194.17499999999998</v>
      </c>
      <c r="F18" s="8">
        <v>429.82999999999993</v>
      </c>
    </row>
    <row r="19" spans="1:6" x14ac:dyDescent="0.3">
      <c r="B19" t="s">
        <v>6205</v>
      </c>
      <c r="C19" s="8">
        <v>130.47</v>
      </c>
      <c r="D19" s="8">
        <v>271.48500000000001</v>
      </c>
      <c r="E19" s="8">
        <v>281.20499999999998</v>
      </c>
      <c r="F19" s="8">
        <v>231.63000000000002</v>
      </c>
    </row>
    <row r="20" spans="1:6" x14ac:dyDescent="0.3">
      <c r="B20" t="s">
        <v>6206</v>
      </c>
      <c r="C20" s="8">
        <v>27</v>
      </c>
      <c r="D20" s="8">
        <v>347.26</v>
      </c>
      <c r="E20" s="8">
        <v>147.51</v>
      </c>
      <c r="F20" s="8">
        <v>240.04</v>
      </c>
    </row>
    <row r="21" spans="1:6" x14ac:dyDescent="0.3">
      <c r="B21" t="s">
        <v>6207</v>
      </c>
      <c r="C21" s="8">
        <v>255.11499999999995</v>
      </c>
      <c r="D21" s="8">
        <v>541.73</v>
      </c>
      <c r="E21" s="8">
        <v>83.43</v>
      </c>
      <c r="F21" s="8">
        <v>59.079999999999991</v>
      </c>
    </row>
    <row r="22" spans="1:6" x14ac:dyDescent="0.3">
      <c r="B22" t="s">
        <v>6208</v>
      </c>
      <c r="C22" s="8">
        <v>584.78999999999985</v>
      </c>
      <c r="D22" s="8">
        <v>357.42999999999995</v>
      </c>
      <c r="E22" s="8">
        <v>355.34</v>
      </c>
      <c r="F22" s="8">
        <v>140.88</v>
      </c>
    </row>
    <row r="23" spans="1:6" x14ac:dyDescent="0.3">
      <c r="B23" t="s">
        <v>6209</v>
      </c>
      <c r="C23" s="8">
        <v>430.62</v>
      </c>
      <c r="D23" s="8">
        <v>227.42500000000001</v>
      </c>
      <c r="E23" s="8">
        <v>236.315</v>
      </c>
      <c r="F23" s="8">
        <v>414.58499999999992</v>
      </c>
    </row>
    <row r="24" spans="1:6" x14ac:dyDescent="0.3">
      <c r="B24" t="s">
        <v>6210</v>
      </c>
      <c r="C24" s="8">
        <v>22.5</v>
      </c>
      <c r="D24" s="8">
        <v>77.72</v>
      </c>
      <c r="E24" s="8">
        <v>60.5</v>
      </c>
      <c r="F24" s="8">
        <v>139.67999999999998</v>
      </c>
    </row>
    <row r="25" spans="1:6" x14ac:dyDescent="0.3">
      <c r="B25" t="s">
        <v>6211</v>
      </c>
      <c r="C25" s="8">
        <v>126.14999999999999</v>
      </c>
      <c r="D25" s="8">
        <v>195.11</v>
      </c>
      <c r="E25" s="8">
        <v>89.13</v>
      </c>
      <c r="F25" s="8">
        <v>302.65999999999997</v>
      </c>
    </row>
    <row r="26" spans="1:6" x14ac:dyDescent="0.3">
      <c r="B26" t="s">
        <v>6212</v>
      </c>
      <c r="C26" s="8">
        <v>376.03</v>
      </c>
      <c r="D26" s="8">
        <v>523.24</v>
      </c>
      <c r="E26" s="8">
        <v>440.96499999999997</v>
      </c>
      <c r="F26" s="8">
        <v>174.46999999999997</v>
      </c>
    </row>
    <row r="27" spans="1:6" x14ac:dyDescent="0.3">
      <c r="B27" t="s">
        <v>6213</v>
      </c>
      <c r="C27" s="8">
        <v>515.17999999999995</v>
      </c>
      <c r="D27" s="8">
        <v>142.56</v>
      </c>
      <c r="E27" s="8">
        <v>347.03999999999996</v>
      </c>
      <c r="F27" s="8">
        <v>104.08499999999999</v>
      </c>
    </row>
    <row r="28" spans="1:6" x14ac:dyDescent="0.3">
      <c r="B28" t="s">
        <v>6214</v>
      </c>
      <c r="C28" s="8">
        <v>95.859999999999985</v>
      </c>
      <c r="D28" s="8">
        <v>484.76</v>
      </c>
      <c r="E28" s="8">
        <v>94.17</v>
      </c>
      <c r="F28" s="8">
        <v>77.10499999999999</v>
      </c>
    </row>
    <row r="29" spans="1:6" x14ac:dyDescent="0.3">
      <c r="A29" t="s">
        <v>6201</v>
      </c>
      <c r="B29" t="s">
        <v>6203</v>
      </c>
      <c r="C29" s="8">
        <v>258.34500000000003</v>
      </c>
      <c r="D29" s="8">
        <v>139.625</v>
      </c>
      <c r="E29" s="8">
        <v>279.52000000000004</v>
      </c>
      <c r="F29" s="8">
        <v>160.19499999999999</v>
      </c>
    </row>
    <row r="30" spans="1:6" x14ac:dyDescent="0.3">
      <c r="B30" t="s">
        <v>6204</v>
      </c>
      <c r="C30" s="8">
        <v>342.2</v>
      </c>
      <c r="D30" s="8">
        <v>284.24999999999994</v>
      </c>
      <c r="E30" s="8">
        <v>251.83</v>
      </c>
      <c r="F30" s="8">
        <v>80.550000000000011</v>
      </c>
    </row>
    <row r="31" spans="1:6" x14ac:dyDescent="0.3">
      <c r="B31" t="s">
        <v>6205</v>
      </c>
      <c r="C31" s="8">
        <v>418.30499999999989</v>
      </c>
      <c r="D31" s="8">
        <v>468.125</v>
      </c>
      <c r="E31" s="8">
        <v>405.05500000000006</v>
      </c>
      <c r="F31" s="8">
        <v>253.15499999999997</v>
      </c>
    </row>
    <row r="32" spans="1:6" x14ac:dyDescent="0.3">
      <c r="B32" t="s">
        <v>6206</v>
      </c>
      <c r="C32" s="8">
        <v>102.32999999999998</v>
      </c>
      <c r="D32" s="8">
        <v>242.14000000000001</v>
      </c>
      <c r="E32" s="8">
        <v>554.875</v>
      </c>
      <c r="F32" s="8">
        <v>106.23999999999998</v>
      </c>
    </row>
    <row r="33" spans="1:6" x14ac:dyDescent="0.3">
      <c r="B33" t="s">
        <v>6207</v>
      </c>
      <c r="C33" s="8">
        <v>234.71999999999997</v>
      </c>
      <c r="D33" s="8">
        <v>133.08000000000001</v>
      </c>
      <c r="E33" s="8">
        <v>267.2</v>
      </c>
      <c r="F33" s="8">
        <v>272.68999999999994</v>
      </c>
    </row>
    <row r="34" spans="1:6" x14ac:dyDescent="0.3">
      <c r="B34" t="s">
        <v>6208</v>
      </c>
      <c r="C34" s="8">
        <v>430.39</v>
      </c>
      <c r="D34" s="8">
        <v>136.20500000000001</v>
      </c>
      <c r="E34" s="8">
        <v>209.6</v>
      </c>
      <c r="F34" s="8">
        <v>88.334999999999994</v>
      </c>
    </row>
    <row r="35" spans="1:6" x14ac:dyDescent="0.3">
      <c r="B35" t="s">
        <v>6209</v>
      </c>
      <c r="C35" s="8">
        <v>109.005</v>
      </c>
      <c r="D35" s="8">
        <v>393.57499999999999</v>
      </c>
      <c r="E35" s="8">
        <v>61.034999999999997</v>
      </c>
      <c r="F35" s="8">
        <v>199.48999999999998</v>
      </c>
    </row>
    <row r="36" spans="1:6" x14ac:dyDescent="0.3">
      <c r="B36" t="s">
        <v>6210</v>
      </c>
      <c r="C36" s="8">
        <v>287.52499999999998</v>
      </c>
      <c r="D36" s="8">
        <v>288.67</v>
      </c>
      <c r="E36" s="8">
        <v>125.58</v>
      </c>
      <c r="F36" s="8">
        <v>374.13499999999999</v>
      </c>
    </row>
    <row r="37" spans="1:6" x14ac:dyDescent="0.3">
      <c r="B37" t="s">
        <v>6211</v>
      </c>
      <c r="C37" s="8">
        <v>840.92999999999984</v>
      </c>
      <c r="D37" s="8">
        <v>409.875</v>
      </c>
      <c r="E37" s="8">
        <v>171.32999999999998</v>
      </c>
      <c r="F37" s="8">
        <v>221.43999999999997</v>
      </c>
    </row>
    <row r="38" spans="1:6" x14ac:dyDescent="0.3">
      <c r="B38" t="s">
        <v>6212</v>
      </c>
      <c r="C38" s="8">
        <v>299.07</v>
      </c>
      <c r="D38" s="8">
        <v>260.32499999999999</v>
      </c>
      <c r="E38" s="8">
        <v>584.64</v>
      </c>
      <c r="F38" s="8">
        <v>256.36500000000001</v>
      </c>
    </row>
    <row r="39" spans="1:6" x14ac:dyDescent="0.3">
      <c r="B39" t="s">
        <v>6213</v>
      </c>
      <c r="C39" s="8">
        <v>323.32499999999999</v>
      </c>
      <c r="D39" s="8">
        <v>565.57000000000005</v>
      </c>
      <c r="E39" s="8">
        <v>537.80999999999995</v>
      </c>
      <c r="F39" s="8">
        <v>189.47499999999999</v>
      </c>
    </row>
    <row r="40" spans="1:6" x14ac:dyDescent="0.3">
      <c r="B40" t="s">
        <v>6214</v>
      </c>
      <c r="C40" s="8">
        <v>399.48499999999996</v>
      </c>
      <c r="D40" s="8">
        <v>148.19999999999999</v>
      </c>
      <c r="E40" s="8">
        <v>388.21999999999997</v>
      </c>
      <c r="F40" s="8">
        <v>212.07499999999999</v>
      </c>
    </row>
    <row r="41" spans="1:6" x14ac:dyDescent="0.3">
      <c r="A41" t="s">
        <v>6202</v>
      </c>
      <c r="B41" t="s">
        <v>6203</v>
      </c>
      <c r="C41" s="8">
        <v>112.69499999999999</v>
      </c>
      <c r="D41" s="8">
        <v>166.32</v>
      </c>
      <c r="E41" s="8">
        <v>843.71499999999992</v>
      </c>
      <c r="F41" s="8">
        <v>146.685</v>
      </c>
    </row>
    <row r="42" spans="1:6" x14ac:dyDescent="0.3">
      <c r="B42" t="s">
        <v>6204</v>
      </c>
      <c r="C42" s="8">
        <v>114.87999999999998</v>
      </c>
      <c r="D42" s="8">
        <v>133.815</v>
      </c>
      <c r="E42" s="8">
        <v>91.175000000000011</v>
      </c>
      <c r="F42" s="8">
        <v>53.759999999999991</v>
      </c>
    </row>
    <row r="43" spans="1:6" x14ac:dyDescent="0.3">
      <c r="B43" t="s">
        <v>6205</v>
      </c>
      <c r="C43" s="8">
        <v>277.76</v>
      </c>
      <c r="D43" s="8">
        <v>175.41</v>
      </c>
      <c r="E43" s="8">
        <v>462.50999999999993</v>
      </c>
      <c r="F43" s="8">
        <v>399.52499999999998</v>
      </c>
    </row>
    <row r="44" spans="1:6" x14ac:dyDescent="0.3">
      <c r="B44" t="s">
        <v>6206</v>
      </c>
      <c r="C44" s="8">
        <v>197.89499999999998</v>
      </c>
      <c r="D44" s="8">
        <v>289.755</v>
      </c>
      <c r="E44" s="8">
        <v>88.545000000000002</v>
      </c>
      <c r="F44" s="8">
        <v>200.25499999999997</v>
      </c>
    </row>
    <row r="45" spans="1:6" x14ac:dyDescent="0.3">
      <c r="B45" t="s">
        <v>6207</v>
      </c>
      <c r="C45" s="8">
        <v>193.11499999999998</v>
      </c>
      <c r="D45" s="8">
        <v>212.49499999999998</v>
      </c>
      <c r="E45" s="8">
        <v>292.29000000000002</v>
      </c>
      <c r="F45" s="8">
        <v>304.46999999999997</v>
      </c>
    </row>
    <row r="46" spans="1:6" x14ac:dyDescent="0.3">
      <c r="B46" t="s">
        <v>6208</v>
      </c>
      <c r="C46" s="8">
        <v>179.79</v>
      </c>
      <c r="D46" s="8">
        <v>426.2</v>
      </c>
      <c r="E46" s="8">
        <v>170.08999999999997</v>
      </c>
      <c r="F46" s="8">
        <v>379.31</v>
      </c>
    </row>
    <row r="47" spans="1:6" x14ac:dyDescent="0.3">
      <c r="B47" t="s">
        <v>6209</v>
      </c>
      <c r="C47" s="8">
        <v>247.28999999999996</v>
      </c>
      <c r="D47" s="8">
        <v>246.685</v>
      </c>
      <c r="E47" s="8">
        <v>271.05499999999995</v>
      </c>
      <c r="F47" s="8">
        <v>141.69999999999999</v>
      </c>
    </row>
    <row r="48" spans="1:6" x14ac:dyDescent="0.3">
      <c r="B48" t="s">
        <v>6210</v>
      </c>
      <c r="C48" s="8">
        <v>116.39499999999998</v>
      </c>
      <c r="D48" s="8">
        <v>41.25</v>
      </c>
      <c r="E48" s="8">
        <v>15.54</v>
      </c>
      <c r="F48" s="8">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9739D-F3AA-4440-AEA0-F89CCF88C975}">
  <dimension ref="A3:B6"/>
  <sheetViews>
    <sheetView zoomScale="92" workbookViewId="0">
      <selection activeCell="P19" sqref="P19"/>
    </sheetView>
  </sheetViews>
  <sheetFormatPr defaultRowHeight="14.4" x14ac:dyDescent="0.3"/>
  <cols>
    <col min="1" max="1" width="14.88671875" bestFit="1" customWidth="1"/>
    <col min="2" max="2" width="11.77734375" bestFit="1" customWidth="1"/>
    <col min="3" max="3" width="7.21875" bestFit="1" customWidth="1"/>
    <col min="4" max="4" width="6.5546875" bestFit="1" customWidth="1"/>
    <col min="5" max="6" width="8.109375" bestFit="1" customWidth="1"/>
  </cols>
  <sheetData>
    <row r="3" spans="1:2" x14ac:dyDescent="0.3">
      <c r="A3" s="7" t="s">
        <v>7</v>
      </c>
      <c r="B3" t="s">
        <v>6198</v>
      </c>
    </row>
    <row r="4" spans="1:2" x14ac:dyDescent="0.3">
      <c r="A4" t="s">
        <v>28</v>
      </c>
      <c r="B4" s="9">
        <v>2798.5050000000001</v>
      </c>
    </row>
    <row r="5" spans="1:2" x14ac:dyDescent="0.3">
      <c r="A5" t="s">
        <v>318</v>
      </c>
      <c r="B5" s="9">
        <v>6696.8649999999989</v>
      </c>
    </row>
    <row r="6" spans="1:2" x14ac:dyDescent="0.3">
      <c r="A6" t="s">
        <v>19</v>
      </c>
      <c r="B6" s="9">
        <v>35638.88499999998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8909E-7317-4D5A-A523-5D5290E1E918}">
  <dimension ref="A3:B8"/>
  <sheetViews>
    <sheetView zoomScale="92" workbookViewId="0">
      <selection activeCell="O11" sqref="O11"/>
    </sheetView>
  </sheetViews>
  <sheetFormatPr defaultRowHeight="14.4" x14ac:dyDescent="0.3"/>
  <cols>
    <col min="1" max="1" width="17.5546875" bestFit="1" customWidth="1"/>
    <col min="2" max="2" width="11.77734375" bestFit="1" customWidth="1"/>
    <col min="3" max="3" width="7.21875" bestFit="1" customWidth="1"/>
    <col min="4" max="4" width="6.5546875" bestFit="1" customWidth="1"/>
    <col min="5" max="6" width="8.109375" bestFit="1" customWidth="1"/>
  </cols>
  <sheetData>
    <row r="3" spans="1:2" x14ac:dyDescent="0.3">
      <c r="A3" s="7" t="s">
        <v>4</v>
      </c>
      <c r="B3" t="s">
        <v>6198</v>
      </c>
    </row>
    <row r="4" spans="1:2" x14ac:dyDescent="0.3">
      <c r="A4" t="s">
        <v>3753</v>
      </c>
      <c r="B4" s="9">
        <v>278.01</v>
      </c>
    </row>
    <row r="5" spans="1:2" x14ac:dyDescent="0.3">
      <c r="A5" t="s">
        <v>1598</v>
      </c>
      <c r="B5" s="9">
        <v>281.67499999999995</v>
      </c>
    </row>
    <row r="6" spans="1:2" x14ac:dyDescent="0.3">
      <c r="A6" t="s">
        <v>2587</v>
      </c>
      <c r="B6" s="9">
        <v>289.11</v>
      </c>
    </row>
    <row r="7" spans="1:2" x14ac:dyDescent="0.3">
      <c r="A7" t="s">
        <v>5765</v>
      </c>
      <c r="B7" s="9">
        <v>307.04499999999996</v>
      </c>
    </row>
    <row r="8" spans="1:2" x14ac:dyDescent="0.3">
      <c r="A8" t="s">
        <v>5114</v>
      </c>
      <c r="B8" s="9">
        <v>317.06999999999994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J1" zoomScale="92" zoomScaleNormal="115" workbookViewId="0">
      <selection activeCell="P2" sqref="P2"/>
    </sheetView>
  </sheetViews>
  <sheetFormatPr defaultRowHeight="14.4" x14ac:dyDescent="0.3"/>
  <cols>
    <col min="1" max="1" width="16" bestFit="1" customWidth="1"/>
    <col min="2" max="2" width="12.5546875" bestFit="1" customWidth="1"/>
    <col min="3" max="3" width="16.88671875" bestFit="1" customWidth="1"/>
    <col min="4" max="4" width="12" customWidth="1"/>
    <col min="5" max="5" width="10.33203125" customWidth="1"/>
    <col min="6" max="6" width="22.6640625" bestFit="1" customWidth="1"/>
    <col min="7" max="7" width="37.109375" bestFit="1" customWidth="1"/>
    <col min="8" max="8" width="14.88671875" bestFit="1" customWidth="1"/>
    <col min="9" max="9" width="13" customWidth="1"/>
    <col min="10" max="10" width="12.33203125" customWidth="1"/>
    <col min="11" max="11" width="6.33203125" customWidth="1"/>
    <col min="12" max="12" width="11.21875" customWidth="1"/>
    <col min="13" max="13" width="9.5546875" bestFit="1" customWidth="1"/>
    <col min="14" max="14" width="18.5546875" customWidth="1"/>
    <col min="15" max="15" width="17.88671875" customWidth="1"/>
    <col min="16" max="16" width="11.44140625" bestFit="1" customWidth="1"/>
  </cols>
  <sheetData>
    <row r="1" spans="1:16" x14ac:dyDescent="0.3">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6">
        <f>INDEX(products!$A$1:$G$49,MATCH(orders!$D2,products!$A$1:$A$49,0),MATCH(orders!K$1,products!$A$1:$G$1,0))</f>
        <v>1</v>
      </c>
      <c r="L2" s="5">
        <f>INDEX(products!$A$1:$G$49,MATCH(orders!$D2,products!$A$1:$A$49,0),MATCH(orders!L$1,products!$A$1:$G$1,0))</f>
        <v>9.9499999999999993</v>
      </c>
      <c r="M2" s="4">
        <f>L2*E2</f>
        <v>19.899999999999999</v>
      </c>
      <c r="N2" t="str">
        <f>IF(I2="Rob","Robusta",IF(I2="Exc","Excelsa",IF(I2="Ara","Arabica",IF(I2="Lib","Librica",""))))</f>
        <v>Robusta</v>
      </c>
      <c r="O2" t="str">
        <f>IF(J2="M","Medium",IF(J2="L","Light",IF(J2="D","Dark","")))</f>
        <v>Medium</v>
      </c>
      <c r="P2" t="str">
        <f>_xlfn.XLOOKUP(Table1[[#This Row],[Customer ID]],customers!$A$1:$A$1001,customers!$I$1:$I$1001,,0)</f>
        <v>Yes</v>
      </c>
    </row>
    <row r="3" spans="1:16" x14ac:dyDescent="0.3">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6">
        <f>INDEX(products!$A$1:$G$49,MATCH(orders!$D3,products!$A$1:$A$49,0),MATCH(orders!K$1,products!$A$1:$G$1,0))</f>
        <v>0.5</v>
      </c>
      <c r="L3" s="5">
        <f>INDEX(products!$A$1:$G$49,MATCH(orders!$D3,products!$A$1:$A$49,0),MATCH(orders!L$1,products!$A$1:$G$1,0))</f>
        <v>8.25</v>
      </c>
      <c r="M3" s="4">
        <f t="shared" ref="M3:M66" si="0">L3*E3</f>
        <v>41.25</v>
      </c>
      <c r="N3" t="str">
        <f t="shared" ref="N3:N66" si="1">IF(I3="Rob","Robusta",IF(I3="Exc","Excelsa",IF(I3="Ara","Arabica",IF(I3="Lib","Librica",""))))</f>
        <v>Excelsa</v>
      </c>
      <c r="O3" t="str">
        <f t="shared" ref="O3:O66" si="2">IF(J3="M","Medium",IF(J3="L","Light",IF(J3="D","Dark","")))</f>
        <v>Medium</v>
      </c>
      <c r="P3" t="str">
        <f>_xlfn.XLOOKUP(Table1[[#This Row],[Customer ID]],customers!$A$1:$A$1001,customers!$I$1:$I$1001,,0)</f>
        <v>Yes</v>
      </c>
    </row>
    <row r="4" spans="1:16" x14ac:dyDescent="0.3">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6">
        <f>INDEX(products!$A$1:$G$49,MATCH(orders!$D4,products!$A$1:$A$49,0),MATCH(orders!K$1,products!$A$1:$G$1,0))</f>
        <v>1</v>
      </c>
      <c r="L4" s="5">
        <f>INDEX(products!$A$1:$G$49,MATCH(orders!$D4,products!$A$1:$A$49,0),MATCH(orders!L$1,products!$A$1:$G$1,0))</f>
        <v>12.95</v>
      </c>
      <c r="M4" s="4">
        <f t="shared" si="0"/>
        <v>12.95</v>
      </c>
      <c r="N4" t="str">
        <f t="shared" si="1"/>
        <v>Arabica</v>
      </c>
      <c r="O4" t="str">
        <f t="shared" si="2"/>
        <v>Light</v>
      </c>
      <c r="P4" t="str">
        <f>_xlfn.XLOOKUP(Table1[[#This Row],[Customer ID]],customers!$A$1:$A$1001,customers!$I$1:$I$1001,,0)</f>
        <v>Yes</v>
      </c>
    </row>
    <row r="5" spans="1:16" x14ac:dyDescent="0.3">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6">
        <f>INDEX(products!$A$1:$G$49,MATCH(orders!$D5,products!$A$1:$A$49,0),MATCH(orders!K$1,products!$A$1:$G$1,0))</f>
        <v>1</v>
      </c>
      <c r="L5" s="5">
        <f>INDEX(products!$A$1:$G$49,MATCH(orders!$D5,products!$A$1:$A$49,0),MATCH(orders!L$1,products!$A$1:$G$1,0))</f>
        <v>13.75</v>
      </c>
      <c r="M5" s="4">
        <f t="shared" si="0"/>
        <v>27.5</v>
      </c>
      <c r="N5" t="str">
        <f t="shared" si="1"/>
        <v>Excelsa</v>
      </c>
      <c r="O5" t="str">
        <f t="shared" si="2"/>
        <v>Medium</v>
      </c>
      <c r="P5" t="str">
        <f>_xlfn.XLOOKUP(Table1[[#This Row],[Customer ID]],customers!$A$1:$A$1001,customers!$I$1:$I$1001,,0)</f>
        <v>No</v>
      </c>
    </row>
    <row r="6" spans="1:16" x14ac:dyDescent="0.3">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6">
        <f>INDEX(products!$A$1:$G$49,MATCH(orders!$D6,products!$A$1:$A$49,0),MATCH(orders!K$1,products!$A$1:$G$1,0))</f>
        <v>2.5</v>
      </c>
      <c r="L6" s="5">
        <f>INDEX(products!$A$1:$G$49,MATCH(orders!$D6,products!$A$1:$A$49,0),MATCH(orders!L$1,products!$A$1:$G$1,0))</f>
        <v>27.484999999999996</v>
      </c>
      <c r="M6" s="4">
        <f t="shared" si="0"/>
        <v>54.969999999999992</v>
      </c>
      <c r="N6" t="str">
        <f t="shared" si="1"/>
        <v>Robusta</v>
      </c>
      <c r="O6" t="str">
        <f t="shared" si="2"/>
        <v>Light</v>
      </c>
      <c r="P6" t="str">
        <f>_xlfn.XLOOKUP(Table1[[#This Row],[Customer ID]],customers!$A$1:$A$1001,customers!$I$1:$I$1001,,0)</f>
        <v>No</v>
      </c>
    </row>
    <row r="7" spans="1:16" x14ac:dyDescent="0.3">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6">
        <f>INDEX(products!$A$1:$G$49,MATCH(orders!$D7,products!$A$1:$A$49,0),MATCH(orders!K$1,products!$A$1:$G$1,0))</f>
        <v>1</v>
      </c>
      <c r="L7" s="5">
        <f>INDEX(products!$A$1:$G$49,MATCH(orders!$D7,products!$A$1:$A$49,0),MATCH(orders!L$1,products!$A$1:$G$1,0))</f>
        <v>12.95</v>
      </c>
      <c r="M7" s="4">
        <f t="shared" si="0"/>
        <v>38.849999999999994</v>
      </c>
      <c r="N7" t="str">
        <f t="shared" si="1"/>
        <v>Librica</v>
      </c>
      <c r="O7" t="str">
        <f t="shared" si="2"/>
        <v>Dark</v>
      </c>
      <c r="P7" t="str">
        <f>_xlfn.XLOOKUP(Table1[[#This Row],[Customer ID]],customers!$A$1:$A$1001,customers!$I$1:$I$1001,,0)</f>
        <v>No</v>
      </c>
    </row>
    <row r="8" spans="1:16" x14ac:dyDescent="0.3">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6">
        <f>INDEX(products!$A$1:$G$49,MATCH(orders!$D8,products!$A$1:$A$49,0),MATCH(orders!K$1,products!$A$1:$G$1,0))</f>
        <v>0.5</v>
      </c>
      <c r="L8" s="5">
        <f>INDEX(products!$A$1:$G$49,MATCH(orders!$D8,products!$A$1:$A$49,0),MATCH(orders!L$1,products!$A$1:$G$1,0))</f>
        <v>7.29</v>
      </c>
      <c r="M8" s="4">
        <f t="shared" si="0"/>
        <v>21.87</v>
      </c>
      <c r="N8" t="str">
        <f t="shared" si="1"/>
        <v>Excelsa</v>
      </c>
      <c r="O8" t="str">
        <f t="shared" si="2"/>
        <v>Dark</v>
      </c>
      <c r="P8" t="str">
        <f>_xlfn.XLOOKUP(Table1[[#This Row],[Customer ID]],customers!$A$1:$A$1001,customers!$I$1:$I$1001,,0)</f>
        <v>Yes</v>
      </c>
    </row>
    <row r="9" spans="1:16" x14ac:dyDescent="0.3">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6">
        <f>INDEX(products!$A$1:$G$49,MATCH(orders!$D9,products!$A$1:$A$49,0),MATCH(orders!K$1,products!$A$1:$G$1,0))</f>
        <v>0.2</v>
      </c>
      <c r="L9" s="5">
        <f>INDEX(products!$A$1:$G$49,MATCH(orders!$D9,products!$A$1:$A$49,0),MATCH(orders!L$1,products!$A$1:$G$1,0))</f>
        <v>4.7549999999999999</v>
      </c>
      <c r="M9" s="4">
        <f t="shared" si="0"/>
        <v>4.7549999999999999</v>
      </c>
      <c r="N9" t="str">
        <f t="shared" si="1"/>
        <v>Librica</v>
      </c>
      <c r="O9" t="str">
        <f t="shared" si="2"/>
        <v>Light</v>
      </c>
      <c r="P9" t="str">
        <f>_xlfn.XLOOKUP(Table1[[#This Row],[Customer ID]],customers!$A$1:$A$1001,customers!$I$1:$I$1001,,0)</f>
        <v>Yes</v>
      </c>
    </row>
    <row r="10" spans="1:16" x14ac:dyDescent="0.3">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6">
        <f>INDEX(products!$A$1:$G$49,MATCH(orders!$D10,products!$A$1:$A$49,0),MATCH(orders!K$1,products!$A$1:$G$1,0))</f>
        <v>0.5</v>
      </c>
      <c r="L10" s="5">
        <f>INDEX(products!$A$1:$G$49,MATCH(orders!$D10,products!$A$1:$A$49,0),MATCH(orders!L$1,products!$A$1:$G$1,0))</f>
        <v>5.97</v>
      </c>
      <c r="M10" s="4">
        <f t="shared" si="0"/>
        <v>17.91</v>
      </c>
      <c r="N10" t="str">
        <f t="shared" si="1"/>
        <v>Robusta</v>
      </c>
      <c r="O10" t="str">
        <f t="shared" si="2"/>
        <v>Medium</v>
      </c>
      <c r="P10" t="str">
        <f>_xlfn.XLOOKUP(Table1[[#This Row],[Customer ID]],customers!$A$1:$A$1001,customers!$I$1:$I$1001,,0)</f>
        <v>No</v>
      </c>
    </row>
    <row r="11" spans="1:16" x14ac:dyDescent="0.3">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6">
        <f>INDEX(products!$A$1:$G$49,MATCH(orders!$D11,products!$A$1:$A$49,0),MATCH(orders!K$1,products!$A$1:$G$1,0))</f>
        <v>0.5</v>
      </c>
      <c r="L11" s="5">
        <f>INDEX(products!$A$1:$G$49,MATCH(orders!$D11,products!$A$1:$A$49,0),MATCH(orders!L$1,products!$A$1:$G$1,0))</f>
        <v>5.97</v>
      </c>
      <c r="M11" s="4">
        <f t="shared" si="0"/>
        <v>5.97</v>
      </c>
      <c r="N11" t="str">
        <f t="shared" si="1"/>
        <v>Robusta</v>
      </c>
      <c r="O11" t="str">
        <f t="shared" si="2"/>
        <v>Medium</v>
      </c>
      <c r="P11" t="str">
        <f>_xlfn.XLOOKUP(Table1[[#This Row],[Customer ID]],customers!$A$1:$A$1001,customers!$I$1:$I$1001,,0)</f>
        <v>No</v>
      </c>
    </row>
    <row r="12" spans="1:16" x14ac:dyDescent="0.3">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6">
        <f>INDEX(products!$A$1:$G$49,MATCH(orders!$D12,products!$A$1:$A$49,0),MATCH(orders!K$1,products!$A$1:$G$1,0))</f>
        <v>1</v>
      </c>
      <c r="L12" s="5">
        <f>INDEX(products!$A$1:$G$49,MATCH(orders!$D12,products!$A$1:$A$49,0),MATCH(orders!L$1,products!$A$1:$G$1,0))</f>
        <v>9.9499999999999993</v>
      </c>
      <c r="M12" s="4">
        <f t="shared" si="0"/>
        <v>39.799999999999997</v>
      </c>
      <c r="N12" t="str">
        <f t="shared" si="1"/>
        <v>Arabica</v>
      </c>
      <c r="O12" t="str">
        <f t="shared" si="2"/>
        <v>Dark</v>
      </c>
      <c r="P12" t="str">
        <f>_xlfn.XLOOKUP(Table1[[#This Row],[Customer ID]],customers!$A$1:$A$1001,customers!$I$1:$I$1001,,0)</f>
        <v>No</v>
      </c>
    </row>
    <row r="13" spans="1:16" x14ac:dyDescent="0.3">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6">
        <f>INDEX(products!$A$1:$G$49,MATCH(orders!$D13,products!$A$1:$A$49,0),MATCH(orders!K$1,products!$A$1:$G$1,0))</f>
        <v>2.5</v>
      </c>
      <c r="L13" s="5">
        <f>INDEX(products!$A$1:$G$49,MATCH(orders!$D13,products!$A$1:$A$49,0),MATCH(orders!L$1,products!$A$1:$G$1,0))</f>
        <v>34.154999999999994</v>
      </c>
      <c r="M13" s="4">
        <f t="shared" si="0"/>
        <v>170.77499999999998</v>
      </c>
      <c r="N13" t="str">
        <f t="shared" si="1"/>
        <v>Excelsa</v>
      </c>
      <c r="O13" t="str">
        <f t="shared" si="2"/>
        <v>Light</v>
      </c>
      <c r="P13" t="str">
        <f>_xlfn.XLOOKUP(Table1[[#This Row],[Customer ID]],customers!$A$1:$A$1001,customers!$I$1:$I$1001,,0)</f>
        <v>Yes</v>
      </c>
    </row>
    <row r="14" spans="1:16" x14ac:dyDescent="0.3">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6">
        <f>INDEX(products!$A$1:$G$49,MATCH(orders!$D14,products!$A$1:$A$49,0),MATCH(orders!K$1,products!$A$1:$G$1,0))</f>
        <v>1</v>
      </c>
      <c r="L14" s="5">
        <f>INDEX(products!$A$1:$G$49,MATCH(orders!$D14,products!$A$1:$A$49,0),MATCH(orders!L$1,products!$A$1:$G$1,0))</f>
        <v>9.9499999999999993</v>
      </c>
      <c r="M14" s="4">
        <f t="shared" si="0"/>
        <v>49.75</v>
      </c>
      <c r="N14" t="str">
        <f t="shared" si="1"/>
        <v>Robusta</v>
      </c>
      <c r="O14" t="str">
        <f t="shared" si="2"/>
        <v>Medium</v>
      </c>
      <c r="P14" t="str">
        <f>_xlfn.XLOOKUP(Table1[[#This Row],[Customer ID]],customers!$A$1:$A$1001,customers!$I$1:$I$1001,,0)</f>
        <v>No</v>
      </c>
    </row>
    <row r="15" spans="1:16" x14ac:dyDescent="0.3">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6">
        <f>INDEX(products!$A$1:$G$49,MATCH(orders!$D15,products!$A$1:$A$49,0),MATCH(orders!K$1,products!$A$1:$G$1,0))</f>
        <v>2.5</v>
      </c>
      <c r="L15" s="5">
        <f>INDEX(products!$A$1:$G$49,MATCH(orders!$D15,products!$A$1:$A$49,0),MATCH(orders!L$1,products!$A$1:$G$1,0))</f>
        <v>20.584999999999997</v>
      </c>
      <c r="M15" s="4">
        <f t="shared" si="0"/>
        <v>41.169999999999995</v>
      </c>
      <c r="N15" t="str">
        <f t="shared" si="1"/>
        <v>Robusta</v>
      </c>
      <c r="O15" t="str">
        <f t="shared" si="2"/>
        <v>Dark</v>
      </c>
      <c r="P15" t="str">
        <f>_xlfn.XLOOKUP(Table1[[#This Row],[Customer ID]],customers!$A$1:$A$1001,customers!$I$1:$I$1001,,0)</f>
        <v>No</v>
      </c>
    </row>
    <row r="16" spans="1:16" x14ac:dyDescent="0.3">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6">
        <f>INDEX(products!$A$1:$G$49,MATCH(orders!$D16,products!$A$1:$A$49,0),MATCH(orders!K$1,products!$A$1:$G$1,0))</f>
        <v>0.2</v>
      </c>
      <c r="L16" s="5">
        <f>INDEX(products!$A$1:$G$49,MATCH(orders!$D16,products!$A$1:$A$49,0),MATCH(orders!L$1,products!$A$1:$G$1,0))</f>
        <v>3.8849999999999998</v>
      </c>
      <c r="M16" s="4">
        <f t="shared" si="0"/>
        <v>11.654999999999999</v>
      </c>
      <c r="N16" t="str">
        <f t="shared" si="1"/>
        <v>Librica</v>
      </c>
      <c r="O16" t="str">
        <f t="shared" si="2"/>
        <v>Dark</v>
      </c>
      <c r="P16" t="str">
        <f>_xlfn.XLOOKUP(Table1[[#This Row],[Customer ID]],customers!$A$1:$A$1001,customers!$I$1:$I$1001,,0)</f>
        <v>Yes</v>
      </c>
    </row>
    <row r="17" spans="1:16" x14ac:dyDescent="0.3">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6">
        <f>INDEX(products!$A$1:$G$49,MATCH(orders!$D17,products!$A$1:$A$49,0),MATCH(orders!K$1,products!$A$1:$G$1,0))</f>
        <v>2.5</v>
      </c>
      <c r="L17" s="5">
        <f>INDEX(products!$A$1:$G$49,MATCH(orders!$D17,products!$A$1:$A$49,0),MATCH(orders!L$1,products!$A$1:$G$1,0))</f>
        <v>22.884999999999998</v>
      </c>
      <c r="M17" s="4">
        <f t="shared" si="0"/>
        <v>114.42499999999998</v>
      </c>
      <c r="N17" t="str">
        <f t="shared" si="1"/>
        <v>Robusta</v>
      </c>
      <c r="O17" t="str">
        <f t="shared" si="2"/>
        <v>Medium</v>
      </c>
      <c r="P17" t="str">
        <f>_xlfn.XLOOKUP(Table1[[#This Row],[Customer ID]],customers!$A$1:$A$1001,customers!$I$1:$I$1001,,0)</f>
        <v>No</v>
      </c>
    </row>
    <row r="18" spans="1:16" x14ac:dyDescent="0.3">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6">
        <f>INDEX(products!$A$1:$G$49,MATCH(orders!$D18,products!$A$1:$A$49,0),MATCH(orders!K$1,products!$A$1:$G$1,0))</f>
        <v>0.2</v>
      </c>
      <c r="L18" s="5">
        <f>INDEX(products!$A$1:$G$49,MATCH(orders!$D18,products!$A$1:$A$49,0),MATCH(orders!L$1,products!$A$1:$G$1,0))</f>
        <v>3.375</v>
      </c>
      <c r="M18" s="4">
        <f t="shared" si="0"/>
        <v>20.25</v>
      </c>
      <c r="N18" t="str">
        <f t="shared" si="1"/>
        <v>Arabica</v>
      </c>
      <c r="O18" t="str">
        <f t="shared" si="2"/>
        <v>Medium</v>
      </c>
      <c r="P18" t="str">
        <f>_xlfn.XLOOKUP(Table1[[#This Row],[Customer ID]],customers!$A$1:$A$1001,customers!$I$1:$I$1001,,0)</f>
        <v>No</v>
      </c>
    </row>
    <row r="19" spans="1:16" x14ac:dyDescent="0.3">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6">
        <f>INDEX(products!$A$1:$G$49,MATCH(orders!$D19,products!$A$1:$A$49,0),MATCH(orders!K$1,products!$A$1:$G$1,0))</f>
        <v>1</v>
      </c>
      <c r="L19" s="5">
        <f>INDEX(products!$A$1:$G$49,MATCH(orders!$D19,products!$A$1:$A$49,0),MATCH(orders!L$1,products!$A$1:$G$1,0))</f>
        <v>12.95</v>
      </c>
      <c r="M19" s="4">
        <f t="shared" si="0"/>
        <v>77.699999999999989</v>
      </c>
      <c r="N19" t="str">
        <f t="shared" si="1"/>
        <v>Arabica</v>
      </c>
      <c r="O19" t="str">
        <f t="shared" si="2"/>
        <v>Light</v>
      </c>
      <c r="P19" t="str">
        <f>_xlfn.XLOOKUP(Table1[[#This Row],[Customer ID]],customers!$A$1:$A$1001,customers!$I$1:$I$1001,,0)</f>
        <v>No</v>
      </c>
    </row>
    <row r="20" spans="1:16" x14ac:dyDescent="0.3">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6">
        <f>INDEX(products!$A$1:$G$49,MATCH(orders!$D20,products!$A$1:$A$49,0),MATCH(orders!K$1,products!$A$1:$G$1,0))</f>
        <v>2.5</v>
      </c>
      <c r="L20" s="5">
        <f>INDEX(products!$A$1:$G$49,MATCH(orders!$D20,products!$A$1:$A$49,0),MATCH(orders!L$1,products!$A$1:$G$1,0))</f>
        <v>20.584999999999997</v>
      </c>
      <c r="M20" s="4">
        <f t="shared" si="0"/>
        <v>82.339999999999989</v>
      </c>
      <c r="N20" t="str">
        <f t="shared" si="1"/>
        <v>Robusta</v>
      </c>
      <c r="O20" t="str">
        <f t="shared" si="2"/>
        <v>Dark</v>
      </c>
      <c r="P20" t="str">
        <f>_xlfn.XLOOKUP(Table1[[#This Row],[Customer ID]],customers!$A$1:$A$1001,customers!$I$1:$I$1001,,0)</f>
        <v>Yes</v>
      </c>
    </row>
    <row r="21" spans="1:16" x14ac:dyDescent="0.3">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6">
        <f>INDEX(products!$A$1:$G$49,MATCH(orders!$D21,products!$A$1:$A$49,0),MATCH(orders!K$1,products!$A$1:$G$1,0))</f>
        <v>0.2</v>
      </c>
      <c r="L21" s="5">
        <f>INDEX(products!$A$1:$G$49,MATCH(orders!$D21,products!$A$1:$A$49,0),MATCH(orders!L$1,products!$A$1:$G$1,0))</f>
        <v>3.375</v>
      </c>
      <c r="M21" s="4">
        <f t="shared" si="0"/>
        <v>16.875</v>
      </c>
      <c r="N21" t="str">
        <f t="shared" si="1"/>
        <v>Arabica</v>
      </c>
      <c r="O21" t="str">
        <f t="shared" si="2"/>
        <v>Medium</v>
      </c>
      <c r="P21" t="str">
        <f>_xlfn.XLOOKUP(Table1[[#This Row],[Customer ID]],customers!$A$1:$A$1001,customers!$I$1:$I$1001,,0)</f>
        <v>Yes</v>
      </c>
    </row>
    <row r="22" spans="1:16" x14ac:dyDescent="0.3">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6">
        <f>INDEX(products!$A$1:$G$49,MATCH(orders!$D22,products!$A$1:$A$49,0),MATCH(orders!K$1,products!$A$1:$G$1,0))</f>
        <v>0.2</v>
      </c>
      <c r="L22" s="5">
        <f>INDEX(products!$A$1:$G$49,MATCH(orders!$D22,products!$A$1:$A$49,0),MATCH(orders!L$1,products!$A$1:$G$1,0))</f>
        <v>3.645</v>
      </c>
      <c r="M22" s="4">
        <f t="shared" si="0"/>
        <v>14.58</v>
      </c>
      <c r="N22" t="str">
        <f t="shared" si="1"/>
        <v>Excelsa</v>
      </c>
      <c r="O22" t="str">
        <f t="shared" si="2"/>
        <v>Dark</v>
      </c>
      <c r="P22" t="str">
        <f>_xlfn.XLOOKUP(Table1[[#This Row],[Customer ID]],customers!$A$1:$A$1001,customers!$I$1:$I$1001,,0)</f>
        <v>Yes</v>
      </c>
    </row>
    <row r="23" spans="1:16" x14ac:dyDescent="0.3">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6">
        <f>INDEX(products!$A$1:$G$49,MATCH(orders!$D23,products!$A$1:$A$49,0),MATCH(orders!K$1,products!$A$1:$G$1,0))</f>
        <v>0.2</v>
      </c>
      <c r="L23" s="5">
        <f>INDEX(products!$A$1:$G$49,MATCH(orders!$D23,products!$A$1:$A$49,0),MATCH(orders!L$1,products!$A$1:$G$1,0))</f>
        <v>2.9849999999999999</v>
      </c>
      <c r="M23" s="4">
        <f t="shared" si="0"/>
        <v>17.91</v>
      </c>
      <c r="N23" t="str">
        <f t="shared" si="1"/>
        <v>Arabica</v>
      </c>
      <c r="O23" t="str">
        <f t="shared" si="2"/>
        <v>Dark</v>
      </c>
      <c r="P23" t="str">
        <f>_xlfn.XLOOKUP(Table1[[#This Row],[Customer ID]],customers!$A$1:$A$1001,customers!$I$1:$I$1001,,0)</f>
        <v>No</v>
      </c>
    </row>
    <row r="24" spans="1:16" x14ac:dyDescent="0.3">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6">
        <f>INDEX(products!$A$1:$G$49,MATCH(orders!$D24,products!$A$1:$A$49,0),MATCH(orders!K$1,products!$A$1:$G$1,0))</f>
        <v>2.5</v>
      </c>
      <c r="L24" s="5">
        <f>INDEX(products!$A$1:$G$49,MATCH(orders!$D24,products!$A$1:$A$49,0),MATCH(orders!L$1,products!$A$1:$G$1,0))</f>
        <v>22.884999999999998</v>
      </c>
      <c r="M24" s="4">
        <f t="shared" si="0"/>
        <v>91.539999999999992</v>
      </c>
      <c r="N24" t="str">
        <f t="shared" si="1"/>
        <v>Robusta</v>
      </c>
      <c r="O24" t="str">
        <f t="shared" si="2"/>
        <v>Medium</v>
      </c>
      <c r="P24" t="str">
        <f>_xlfn.XLOOKUP(Table1[[#This Row],[Customer ID]],customers!$A$1:$A$1001,customers!$I$1:$I$1001,,0)</f>
        <v>Yes</v>
      </c>
    </row>
    <row r="25" spans="1:16" x14ac:dyDescent="0.3">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6">
        <f>INDEX(products!$A$1:$G$49,MATCH(orders!$D25,products!$A$1:$A$49,0),MATCH(orders!K$1,products!$A$1:$G$1,0))</f>
        <v>0.2</v>
      </c>
      <c r="L25" s="5">
        <f>INDEX(products!$A$1:$G$49,MATCH(orders!$D25,products!$A$1:$A$49,0),MATCH(orders!L$1,products!$A$1:$G$1,0))</f>
        <v>2.9849999999999999</v>
      </c>
      <c r="M25" s="4">
        <f t="shared" si="0"/>
        <v>11.94</v>
      </c>
      <c r="N25" t="str">
        <f t="shared" si="1"/>
        <v>Arabica</v>
      </c>
      <c r="O25" t="str">
        <f t="shared" si="2"/>
        <v>Dark</v>
      </c>
      <c r="P25" t="str">
        <f>_xlfn.XLOOKUP(Table1[[#This Row],[Customer ID]],customers!$A$1:$A$1001,customers!$I$1:$I$1001,,0)</f>
        <v>Yes</v>
      </c>
    </row>
    <row r="26" spans="1:16" x14ac:dyDescent="0.3">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6">
        <f>INDEX(products!$A$1:$G$49,MATCH(orders!$D26,products!$A$1:$A$49,0),MATCH(orders!K$1,products!$A$1:$G$1,0))</f>
        <v>1</v>
      </c>
      <c r="L26" s="5">
        <f>INDEX(products!$A$1:$G$49,MATCH(orders!$D26,products!$A$1:$A$49,0),MATCH(orders!L$1,products!$A$1:$G$1,0))</f>
        <v>11.25</v>
      </c>
      <c r="M26" s="4">
        <f t="shared" si="0"/>
        <v>11.25</v>
      </c>
      <c r="N26" t="str">
        <f t="shared" si="1"/>
        <v>Arabica</v>
      </c>
      <c r="O26" t="str">
        <f t="shared" si="2"/>
        <v>Medium</v>
      </c>
      <c r="P26" t="str">
        <f>_xlfn.XLOOKUP(Table1[[#This Row],[Customer ID]],customers!$A$1:$A$1001,customers!$I$1:$I$1001,,0)</f>
        <v>No</v>
      </c>
    </row>
    <row r="27" spans="1:16" x14ac:dyDescent="0.3">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6">
        <f>INDEX(products!$A$1:$G$49,MATCH(orders!$D27,products!$A$1:$A$49,0),MATCH(orders!K$1,products!$A$1:$G$1,0))</f>
        <v>0.2</v>
      </c>
      <c r="L27" s="5">
        <f>INDEX(products!$A$1:$G$49,MATCH(orders!$D27,products!$A$1:$A$49,0),MATCH(orders!L$1,products!$A$1:$G$1,0))</f>
        <v>4.125</v>
      </c>
      <c r="M27" s="4">
        <f t="shared" si="0"/>
        <v>12.375</v>
      </c>
      <c r="N27" t="str">
        <f t="shared" si="1"/>
        <v>Excelsa</v>
      </c>
      <c r="O27" t="str">
        <f t="shared" si="2"/>
        <v>Medium</v>
      </c>
      <c r="P27" t="str">
        <f>_xlfn.XLOOKUP(Table1[[#This Row],[Customer ID]],customers!$A$1:$A$1001,customers!$I$1:$I$1001,,0)</f>
        <v>Yes</v>
      </c>
    </row>
    <row r="28" spans="1:16" x14ac:dyDescent="0.3">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6">
        <f>INDEX(products!$A$1:$G$49,MATCH(orders!$D28,products!$A$1:$A$49,0),MATCH(orders!K$1,products!$A$1:$G$1,0))</f>
        <v>0.5</v>
      </c>
      <c r="L28" s="5">
        <f>INDEX(products!$A$1:$G$49,MATCH(orders!$D28,products!$A$1:$A$49,0),MATCH(orders!L$1,products!$A$1:$G$1,0))</f>
        <v>6.75</v>
      </c>
      <c r="M28" s="4">
        <f t="shared" si="0"/>
        <v>27</v>
      </c>
      <c r="N28" t="str">
        <f t="shared" si="1"/>
        <v>Arabica</v>
      </c>
      <c r="O28" t="str">
        <f t="shared" si="2"/>
        <v>Medium</v>
      </c>
      <c r="P28" t="str">
        <f>_xlfn.XLOOKUP(Table1[[#This Row],[Customer ID]],customers!$A$1:$A$1001,customers!$I$1:$I$1001,,0)</f>
        <v>Yes</v>
      </c>
    </row>
    <row r="29" spans="1:16" x14ac:dyDescent="0.3">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6">
        <f>INDEX(products!$A$1:$G$49,MATCH(orders!$D29,products!$A$1:$A$49,0),MATCH(orders!K$1,products!$A$1:$G$1,0))</f>
        <v>0.2</v>
      </c>
      <c r="L29" s="5">
        <f>INDEX(products!$A$1:$G$49,MATCH(orders!$D29,products!$A$1:$A$49,0),MATCH(orders!L$1,products!$A$1:$G$1,0))</f>
        <v>3.375</v>
      </c>
      <c r="M29" s="4">
        <f t="shared" si="0"/>
        <v>16.875</v>
      </c>
      <c r="N29" t="str">
        <f t="shared" si="1"/>
        <v>Arabica</v>
      </c>
      <c r="O29" t="str">
        <f t="shared" si="2"/>
        <v>Medium</v>
      </c>
      <c r="P29" t="str">
        <f>_xlfn.XLOOKUP(Table1[[#This Row],[Customer ID]],customers!$A$1:$A$1001,customers!$I$1:$I$1001,,0)</f>
        <v>No</v>
      </c>
    </row>
    <row r="30" spans="1:16" x14ac:dyDescent="0.3">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6">
        <f>INDEX(products!$A$1:$G$49,MATCH(orders!$D30,products!$A$1:$A$49,0),MATCH(orders!K$1,products!$A$1:$G$1,0))</f>
        <v>0.5</v>
      </c>
      <c r="L30" s="5">
        <f>INDEX(products!$A$1:$G$49,MATCH(orders!$D30,products!$A$1:$A$49,0),MATCH(orders!L$1,products!$A$1:$G$1,0))</f>
        <v>5.97</v>
      </c>
      <c r="M30" s="4">
        <f t="shared" si="0"/>
        <v>17.91</v>
      </c>
      <c r="N30" t="str">
        <f t="shared" si="1"/>
        <v>Arabica</v>
      </c>
      <c r="O30" t="str">
        <f t="shared" si="2"/>
        <v>Dark</v>
      </c>
      <c r="P30" t="str">
        <f>_xlfn.XLOOKUP(Table1[[#This Row],[Customer ID]],customers!$A$1:$A$1001,customers!$I$1:$I$1001,,0)</f>
        <v>No</v>
      </c>
    </row>
    <row r="31" spans="1:16" x14ac:dyDescent="0.3">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6">
        <f>INDEX(products!$A$1:$G$49,MATCH(orders!$D31,products!$A$1:$A$49,0),MATCH(orders!K$1,products!$A$1:$G$1,0))</f>
        <v>1</v>
      </c>
      <c r="L31" s="5">
        <f>INDEX(products!$A$1:$G$49,MATCH(orders!$D31,products!$A$1:$A$49,0),MATCH(orders!L$1,products!$A$1:$G$1,0))</f>
        <v>9.9499999999999993</v>
      </c>
      <c r="M31" s="4">
        <f t="shared" si="0"/>
        <v>39.799999999999997</v>
      </c>
      <c r="N31" t="str">
        <f t="shared" si="1"/>
        <v>Arabica</v>
      </c>
      <c r="O31" t="str">
        <f t="shared" si="2"/>
        <v>Dark</v>
      </c>
      <c r="P31" t="str">
        <f>_xlfn.XLOOKUP(Table1[[#This Row],[Customer ID]],customers!$A$1:$A$1001,customers!$I$1:$I$1001,,0)</f>
        <v>Yes</v>
      </c>
    </row>
    <row r="32" spans="1:16" x14ac:dyDescent="0.3">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6">
        <f>INDEX(products!$A$1:$G$49,MATCH(orders!$D32,products!$A$1:$A$49,0),MATCH(orders!K$1,products!$A$1:$G$1,0))</f>
        <v>0.2</v>
      </c>
      <c r="L32" s="5">
        <f>INDEX(products!$A$1:$G$49,MATCH(orders!$D32,products!$A$1:$A$49,0),MATCH(orders!L$1,products!$A$1:$G$1,0))</f>
        <v>4.3650000000000002</v>
      </c>
      <c r="M32" s="4">
        <f t="shared" si="0"/>
        <v>21.825000000000003</v>
      </c>
      <c r="N32" t="str">
        <f t="shared" si="1"/>
        <v>Librica</v>
      </c>
      <c r="O32" t="str">
        <f t="shared" si="2"/>
        <v>Medium</v>
      </c>
      <c r="P32" t="str">
        <f>_xlfn.XLOOKUP(Table1[[#This Row],[Customer ID]],customers!$A$1:$A$1001,customers!$I$1:$I$1001,,0)</f>
        <v>No</v>
      </c>
    </row>
    <row r="33" spans="1:16" x14ac:dyDescent="0.3">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6">
        <f>INDEX(products!$A$1:$G$49,MATCH(orders!$D33,products!$A$1:$A$49,0),MATCH(orders!K$1,products!$A$1:$G$1,0))</f>
        <v>0.5</v>
      </c>
      <c r="L33" s="5">
        <f>INDEX(products!$A$1:$G$49,MATCH(orders!$D33,products!$A$1:$A$49,0),MATCH(orders!L$1,products!$A$1:$G$1,0))</f>
        <v>5.97</v>
      </c>
      <c r="M33" s="4">
        <f t="shared" si="0"/>
        <v>35.82</v>
      </c>
      <c r="N33" t="str">
        <f t="shared" si="1"/>
        <v>Arabica</v>
      </c>
      <c r="O33" t="str">
        <f t="shared" si="2"/>
        <v>Dark</v>
      </c>
      <c r="P33" t="str">
        <f>_xlfn.XLOOKUP(Table1[[#This Row],[Customer ID]],customers!$A$1:$A$1001,customers!$I$1:$I$1001,,0)</f>
        <v>No</v>
      </c>
    </row>
    <row r="34" spans="1:16" x14ac:dyDescent="0.3">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6">
        <f>INDEX(products!$A$1:$G$49,MATCH(orders!$D34,products!$A$1:$A$49,0),MATCH(orders!K$1,products!$A$1:$G$1,0))</f>
        <v>0.5</v>
      </c>
      <c r="L34" s="5">
        <f>INDEX(products!$A$1:$G$49,MATCH(orders!$D34,products!$A$1:$A$49,0),MATCH(orders!L$1,products!$A$1:$G$1,0))</f>
        <v>8.73</v>
      </c>
      <c r="M34" s="4">
        <f t="shared" si="0"/>
        <v>52.38</v>
      </c>
      <c r="N34" t="str">
        <f t="shared" si="1"/>
        <v>Librica</v>
      </c>
      <c r="O34" t="str">
        <f t="shared" si="2"/>
        <v>Medium</v>
      </c>
      <c r="P34" t="str">
        <f>_xlfn.XLOOKUP(Table1[[#This Row],[Customer ID]],customers!$A$1:$A$1001,customers!$I$1:$I$1001,,0)</f>
        <v>No</v>
      </c>
    </row>
    <row r="35" spans="1:16" x14ac:dyDescent="0.3">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6">
        <f>INDEX(products!$A$1:$G$49,MATCH(orders!$D35,products!$A$1:$A$49,0),MATCH(orders!K$1,products!$A$1:$G$1,0))</f>
        <v>0.2</v>
      </c>
      <c r="L35" s="5">
        <f>INDEX(products!$A$1:$G$49,MATCH(orders!$D35,products!$A$1:$A$49,0),MATCH(orders!L$1,products!$A$1:$G$1,0))</f>
        <v>4.7549999999999999</v>
      </c>
      <c r="M35" s="4">
        <f t="shared" si="0"/>
        <v>23.774999999999999</v>
      </c>
      <c r="N35" t="str">
        <f t="shared" si="1"/>
        <v>Librica</v>
      </c>
      <c r="O35" t="str">
        <f t="shared" si="2"/>
        <v>Light</v>
      </c>
      <c r="P35" t="str">
        <f>_xlfn.XLOOKUP(Table1[[#This Row],[Customer ID]],customers!$A$1:$A$1001,customers!$I$1:$I$1001,,0)</f>
        <v>No</v>
      </c>
    </row>
    <row r="36" spans="1:16" x14ac:dyDescent="0.3">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6">
        <f>INDEX(products!$A$1:$G$49,MATCH(orders!$D36,products!$A$1:$A$49,0),MATCH(orders!K$1,products!$A$1:$G$1,0))</f>
        <v>0.5</v>
      </c>
      <c r="L36" s="5">
        <f>INDEX(products!$A$1:$G$49,MATCH(orders!$D36,products!$A$1:$A$49,0),MATCH(orders!L$1,products!$A$1:$G$1,0))</f>
        <v>9.51</v>
      </c>
      <c r="M36" s="4">
        <f t="shared" si="0"/>
        <v>57.06</v>
      </c>
      <c r="N36" t="str">
        <f t="shared" si="1"/>
        <v>Librica</v>
      </c>
      <c r="O36" t="str">
        <f t="shared" si="2"/>
        <v>Light</v>
      </c>
      <c r="P36" t="str">
        <f>_xlfn.XLOOKUP(Table1[[#This Row],[Customer ID]],customers!$A$1:$A$1001,customers!$I$1:$I$1001,,0)</f>
        <v>Yes</v>
      </c>
    </row>
    <row r="37" spans="1:16" x14ac:dyDescent="0.3">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6">
        <f>INDEX(products!$A$1:$G$49,MATCH(orders!$D37,products!$A$1:$A$49,0),MATCH(orders!K$1,products!$A$1:$G$1,0))</f>
        <v>0.5</v>
      </c>
      <c r="L37" s="5">
        <f>INDEX(products!$A$1:$G$49,MATCH(orders!$D37,products!$A$1:$A$49,0),MATCH(orders!L$1,products!$A$1:$G$1,0))</f>
        <v>5.97</v>
      </c>
      <c r="M37" s="4">
        <f t="shared" si="0"/>
        <v>35.82</v>
      </c>
      <c r="N37" t="str">
        <f t="shared" si="1"/>
        <v>Arabica</v>
      </c>
      <c r="O37" t="str">
        <f t="shared" si="2"/>
        <v>Dark</v>
      </c>
      <c r="P37" t="str">
        <f>_xlfn.XLOOKUP(Table1[[#This Row],[Customer ID]],customers!$A$1:$A$1001,customers!$I$1:$I$1001,,0)</f>
        <v>No</v>
      </c>
    </row>
    <row r="38" spans="1:16" x14ac:dyDescent="0.3">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6">
        <f>INDEX(products!$A$1:$G$49,MATCH(orders!$D38,products!$A$1:$A$49,0),MATCH(orders!K$1,products!$A$1:$G$1,0))</f>
        <v>0.2</v>
      </c>
      <c r="L38" s="5">
        <f>INDEX(products!$A$1:$G$49,MATCH(orders!$D38,products!$A$1:$A$49,0),MATCH(orders!L$1,products!$A$1:$G$1,0))</f>
        <v>4.3650000000000002</v>
      </c>
      <c r="M38" s="4">
        <f t="shared" si="0"/>
        <v>8.73</v>
      </c>
      <c r="N38" t="str">
        <f t="shared" si="1"/>
        <v>Librica</v>
      </c>
      <c r="O38" t="str">
        <f t="shared" si="2"/>
        <v>Medium</v>
      </c>
      <c r="P38" t="str">
        <f>_xlfn.XLOOKUP(Table1[[#This Row],[Customer ID]],customers!$A$1:$A$1001,customers!$I$1:$I$1001,,0)</f>
        <v>No</v>
      </c>
    </row>
    <row r="39" spans="1:16" x14ac:dyDescent="0.3">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6">
        <f>INDEX(products!$A$1:$G$49,MATCH(orders!$D39,products!$A$1:$A$49,0),MATCH(orders!K$1,products!$A$1:$G$1,0))</f>
        <v>0.5</v>
      </c>
      <c r="L39" s="5">
        <f>INDEX(products!$A$1:$G$49,MATCH(orders!$D39,products!$A$1:$A$49,0),MATCH(orders!L$1,products!$A$1:$G$1,0))</f>
        <v>9.51</v>
      </c>
      <c r="M39" s="4">
        <f t="shared" si="0"/>
        <v>28.53</v>
      </c>
      <c r="N39" t="str">
        <f t="shared" si="1"/>
        <v>Librica</v>
      </c>
      <c r="O39" t="str">
        <f t="shared" si="2"/>
        <v>Light</v>
      </c>
      <c r="P39" t="str">
        <f>_xlfn.XLOOKUP(Table1[[#This Row],[Customer ID]],customers!$A$1:$A$1001,customers!$I$1:$I$1001,,0)</f>
        <v>No</v>
      </c>
    </row>
    <row r="40" spans="1:16" x14ac:dyDescent="0.3">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6">
        <f>INDEX(products!$A$1:$G$49,MATCH(orders!$D40,products!$A$1:$A$49,0),MATCH(orders!K$1,products!$A$1:$G$1,0))</f>
        <v>2.5</v>
      </c>
      <c r="L40" s="5">
        <f>INDEX(products!$A$1:$G$49,MATCH(orders!$D40,products!$A$1:$A$49,0),MATCH(orders!L$1,products!$A$1:$G$1,0))</f>
        <v>22.884999999999998</v>
      </c>
      <c r="M40" s="4">
        <f t="shared" si="0"/>
        <v>114.42499999999998</v>
      </c>
      <c r="N40" t="str">
        <f t="shared" si="1"/>
        <v>Robusta</v>
      </c>
      <c r="O40" t="str">
        <f t="shared" si="2"/>
        <v>Medium</v>
      </c>
      <c r="P40" t="str">
        <f>_xlfn.XLOOKUP(Table1[[#This Row],[Customer ID]],customers!$A$1:$A$1001,customers!$I$1:$I$1001,,0)</f>
        <v>No</v>
      </c>
    </row>
    <row r="41" spans="1:16" x14ac:dyDescent="0.3">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6">
        <f>INDEX(products!$A$1:$G$49,MATCH(orders!$D41,products!$A$1:$A$49,0),MATCH(orders!K$1,products!$A$1:$G$1,0))</f>
        <v>1</v>
      </c>
      <c r="L41" s="5">
        <f>INDEX(products!$A$1:$G$49,MATCH(orders!$D41,products!$A$1:$A$49,0),MATCH(orders!L$1,products!$A$1:$G$1,0))</f>
        <v>9.9499999999999993</v>
      </c>
      <c r="M41" s="4">
        <f t="shared" si="0"/>
        <v>59.699999999999996</v>
      </c>
      <c r="N41" t="str">
        <f t="shared" si="1"/>
        <v>Robusta</v>
      </c>
      <c r="O41" t="str">
        <f t="shared" si="2"/>
        <v>Medium</v>
      </c>
      <c r="P41" t="str">
        <f>_xlfn.XLOOKUP(Table1[[#This Row],[Customer ID]],customers!$A$1:$A$1001,customers!$I$1:$I$1001,,0)</f>
        <v>Yes</v>
      </c>
    </row>
    <row r="42" spans="1:16" x14ac:dyDescent="0.3">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6">
        <f>INDEX(products!$A$1:$G$49,MATCH(orders!$D42,products!$A$1:$A$49,0),MATCH(orders!K$1,products!$A$1:$G$1,0))</f>
        <v>1</v>
      </c>
      <c r="L42" s="5">
        <f>INDEX(products!$A$1:$G$49,MATCH(orders!$D42,products!$A$1:$A$49,0),MATCH(orders!L$1,products!$A$1:$G$1,0))</f>
        <v>14.55</v>
      </c>
      <c r="M42" s="4">
        <f t="shared" si="0"/>
        <v>43.650000000000006</v>
      </c>
      <c r="N42" t="str">
        <f t="shared" si="1"/>
        <v>Librica</v>
      </c>
      <c r="O42" t="str">
        <f t="shared" si="2"/>
        <v>Medium</v>
      </c>
      <c r="P42" t="str">
        <f>_xlfn.XLOOKUP(Table1[[#This Row],[Customer ID]],customers!$A$1:$A$1001,customers!$I$1:$I$1001,,0)</f>
        <v>No</v>
      </c>
    </row>
    <row r="43" spans="1:16" x14ac:dyDescent="0.3">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6">
        <f>INDEX(products!$A$1:$G$49,MATCH(orders!$D43,products!$A$1:$A$49,0),MATCH(orders!K$1,products!$A$1:$G$1,0))</f>
        <v>0.2</v>
      </c>
      <c r="L43" s="5">
        <f>INDEX(products!$A$1:$G$49,MATCH(orders!$D43,products!$A$1:$A$49,0),MATCH(orders!L$1,products!$A$1:$G$1,0))</f>
        <v>3.645</v>
      </c>
      <c r="M43" s="4">
        <f t="shared" si="0"/>
        <v>7.29</v>
      </c>
      <c r="N43" t="str">
        <f t="shared" si="1"/>
        <v>Excelsa</v>
      </c>
      <c r="O43" t="str">
        <f t="shared" si="2"/>
        <v>Dark</v>
      </c>
      <c r="P43" t="str">
        <f>_xlfn.XLOOKUP(Table1[[#This Row],[Customer ID]],customers!$A$1:$A$1001,customers!$I$1:$I$1001,,0)</f>
        <v>Yes</v>
      </c>
    </row>
    <row r="44" spans="1:16" x14ac:dyDescent="0.3">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6">
        <f>INDEX(products!$A$1:$G$49,MATCH(orders!$D44,products!$A$1:$A$49,0),MATCH(orders!K$1,products!$A$1:$G$1,0))</f>
        <v>0.2</v>
      </c>
      <c r="L44" s="5">
        <f>INDEX(products!$A$1:$G$49,MATCH(orders!$D44,products!$A$1:$A$49,0),MATCH(orders!L$1,products!$A$1:$G$1,0))</f>
        <v>2.6849999999999996</v>
      </c>
      <c r="M44" s="4">
        <f t="shared" si="0"/>
        <v>8.0549999999999997</v>
      </c>
      <c r="N44" t="str">
        <f t="shared" si="1"/>
        <v>Robusta</v>
      </c>
      <c r="O44" t="str">
        <f t="shared" si="2"/>
        <v>Dark</v>
      </c>
      <c r="P44" t="str">
        <f>_xlfn.XLOOKUP(Table1[[#This Row],[Customer ID]],customers!$A$1:$A$1001,customers!$I$1:$I$1001,,0)</f>
        <v>Yes</v>
      </c>
    </row>
    <row r="45" spans="1:16" x14ac:dyDescent="0.3">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6">
        <f>INDEX(products!$A$1:$G$49,MATCH(orders!$D45,products!$A$1:$A$49,0),MATCH(orders!K$1,products!$A$1:$G$1,0))</f>
        <v>2.5</v>
      </c>
      <c r="L45" s="5">
        <f>INDEX(products!$A$1:$G$49,MATCH(orders!$D45,products!$A$1:$A$49,0),MATCH(orders!L$1,products!$A$1:$G$1,0))</f>
        <v>36.454999999999998</v>
      </c>
      <c r="M45" s="4">
        <f t="shared" si="0"/>
        <v>72.91</v>
      </c>
      <c r="N45" t="str">
        <f t="shared" si="1"/>
        <v>Librica</v>
      </c>
      <c r="O45" t="str">
        <f t="shared" si="2"/>
        <v>Light</v>
      </c>
      <c r="P45" t="str">
        <f>_xlfn.XLOOKUP(Table1[[#This Row],[Customer ID]],customers!$A$1:$A$1001,customers!$I$1:$I$1001,,0)</f>
        <v>No</v>
      </c>
    </row>
    <row r="46" spans="1:16" x14ac:dyDescent="0.3">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6">
        <f>INDEX(products!$A$1:$G$49,MATCH(orders!$D46,products!$A$1:$A$49,0),MATCH(orders!K$1,products!$A$1:$G$1,0))</f>
        <v>0.5</v>
      </c>
      <c r="L46" s="5">
        <f>INDEX(products!$A$1:$G$49,MATCH(orders!$D46,products!$A$1:$A$49,0),MATCH(orders!L$1,products!$A$1:$G$1,0))</f>
        <v>8.25</v>
      </c>
      <c r="M46" s="4">
        <f t="shared" si="0"/>
        <v>16.5</v>
      </c>
      <c r="N46" t="str">
        <f t="shared" si="1"/>
        <v>Excelsa</v>
      </c>
      <c r="O46" t="str">
        <f t="shared" si="2"/>
        <v>Medium</v>
      </c>
      <c r="P46" t="str">
        <f>_xlfn.XLOOKUP(Table1[[#This Row],[Customer ID]],customers!$A$1:$A$1001,customers!$I$1:$I$1001,,0)</f>
        <v>Yes</v>
      </c>
    </row>
    <row r="47" spans="1:16" x14ac:dyDescent="0.3">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6">
        <f>INDEX(products!$A$1:$G$49,MATCH(orders!$D47,products!$A$1:$A$49,0),MATCH(orders!K$1,products!$A$1:$G$1,0))</f>
        <v>2.5</v>
      </c>
      <c r="L47" s="5">
        <f>INDEX(products!$A$1:$G$49,MATCH(orders!$D47,products!$A$1:$A$49,0),MATCH(orders!L$1,products!$A$1:$G$1,0))</f>
        <v>29.784999999999997</v>
      </c>
      <c r="M47" s="4">
        <f t="shared" si="0"/>
        <v>178.70999999999998</v>
      </c>
      <c r="N47" t="str">
        <f t="shared" si="1"/>
        <v>Librica</v>
      </c>
      <c r="O47" t="str">
        <f t="shared" si="2"/>
        <v>Dark</v>
      </c>
      <c r="P47" t="str">
        <f>_xlfn.XLOOKUP(Table1[[#This Row],[Customer ID]],customers!$A$1:$A$1001,customers!$I$1:$I$1001,,0)</f>
        <v>No</v>
      </c>
    </row>
    <row r="48" spans="1:16" x14ac:dyDescent="0.3">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6">
        <f>INDEX(products!$A$1:$G$49,MATCH(orders!$D48,products!$A$1:$A$49,0),MATCH(orders!K$1,products!$A$1:$G$1,0))</f>
        <v>2.5</v>
      </c>
      <c r="L48" s="5">
        <f>INDEX(products!$A$1:$G$49,MATCH(orders!$D48,products!$A$1:$A$49,0),MATCH(orders!L$1,products!$A$1:$G$1,0))</f>
        <v>31.624999999999996</v>
      </c>
      <c r="M48" s="4">
        <f t="shared" si="0"/>
        <v>63.249999999999993</v>
      </c>
      <c r="N48" t="str">
        <f t="shared" si="1"/>
        <v>Excelsa</v>
      </c>
      <c r="O48" t="str">
        <f t="shared" si="2"/>
        <v>Medium</v>
      </c>
      <c r="P48" t="str">
        <f>_xlfn.XLOOKUP(Table1[[#This Row],[Customer ID]],customers!$A$1:$A$1001,customers!$I$1:$I$1001,,0)</f>
        <v>Yes</v>
      </c>
    </row>
    <row r="49" spans="1:16" x14ac:dyDescent="0.3">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6">
        <f>INDEX(products!$A$1:$G$49,MATCH(orders!$D49,products!$A$1:$A$49,0),MATCH(orders!K$1,products!$A$1:$G$1,0))</f>
        <v>0.2</v>
      </c>
      <c r="L49" s="5">
        <f>INDEX(products!$A$1:$G$49,MATCH(orders!$D49,products!$A$1:$A$49,0),MATCH(orders!L$1,products!$A$1:$G$1,0))</f>
        <v>3.8849999999999998</v>
      </c>
      <c r="M49" s="4">
        <f t="shared" si="0"/>
        <v>7.77</v>
      </c>
      <c r="N49" t="str">
        <f t="shared" si="1"/>
        <v>Arabica</v>
      </c>
      <c r="O49" t="str">
        <f t="shared" si="2"/>
        <v>Light</v>
      </c>
      <c r="P49" t="str">
        <f>_xlfn.XLOOKUP(Table1[[#This Row],[Customer ID]],customers!$A$1:$A$1001,customers!$I$1:$I$1001,,0)</f>
        <v>Yes</v>
      </c>
    </row>
    <row r="50" spans="1:16" x14ac:dyDescent="0.3">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6">
        <f>INDEX(products!$A$1:$G$49,MATCH(orders!$D50,products!$A$1:$A$49,0),MATCH(orders!K$1,products!$A$1:$G$1,0))</f>
        <v>2.5</v>
      </c>
      <c r="L50" s="5">
        <f>INDEX(products!$A$1:$G$49,MATCH(orders!$D50,products!$A$1:$A$49,0),MATCH(orders!L$1,products!$A$1:$G$1,0))</f>
        <v>22.884999999999998</v>
      </c>
      <c r="M50" s="4">
        <f t="shared" si="0"/>
        <v>91.539999999999992</v>
      </c>
      <c r="N50" t="str">
        <f t="shared" si="1"/>
        <v>Arabica</v>
      </c>
      <c r="O50" t="str">
        <f t="shared" si="2"/>
        <v>Dark</v>
      </c>
      <c r="P50" t="str">
        <f>_xlfn.XLOOKUP(Table1[[#This Row],[Customer ID]],customers!$A$1:$A$1001,customers!$I$1:$I$1001,,0)</f>
        <v>No</v>
      </c>
    </row>
    <row r="51" spans="1:16" x14ac:dyDescent="0.3">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6">
        <f>INDEX(products!$A$1:$G$49,MATCH(orders!$D51,products!$A$1:$A$49,0),MATCH(orders!K$1,products!$A$1:$G$1,0))</f>
        <v>1</v>
      </c>
      <c r="L51" s="5">
        <f>INDEX(products!$A$1:$G$49,MATCH(orders!$D51,products!$A$1:$A$49,0),MATCH(orders!L$1,products!$A$1:$G$1,0))</f>
        <v>12.95</v>
      </c>
      <c r="M51" s="4">
        <f t="shared" si="0"/>
        <v>38.849999999999994</v>
      </c>
      <c r="N51" t="str">
        <f t="shared" si="1"/>
        <v>Arabica</v>
      </c>
      <c r="O51" t="str">
        <f t="shared" si="2"/>
        <v>Light</v>
      </c>
      <c r="P51" t="str">
        <f>_xlfn.XLOOKUP(Table1[[#This Row],[Customer ID]],customers!$A$1:$A$1001,customers!$I$1:$I$1001,,0)</f>
        <v>No</v>
      </c>
    </row>
    <row r="52" spans="1:16" x14ac:dyDescent="0.3">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6">
        <f>INDEX(products!$A$1:$G$49,MATCH(orders!$D52,products!$A$1:$A$49,0),MATCH(orders!K$1,products!$A$1:$G$1,0))</f>
        <v>0.5</v>
      </c>
      <c r="L52" s="5">
        <f>INDEX(products!$A$1:$G$49,MATCH(orders!$D52,products!$A$1:$A$49,0),MATCH(orders!L$1,products!$A$1:$G$1,0))</f>
        <v>7.77</v>
      </c>
      <c r="M52" s="4">
        <f t="shared" si="0"/>
        <v>15.54</v>
      </c>
      <c r="N52" t="str">
        <f t="shared" si="1"/>
        <v>Librica</v>
      </c>
      <c r="O52" t="str">
        <f t="shared" si="2"/>
        <v>Dark</v>
      </c>
      <c r="P52" t="str">
        <f>_xlfn.XLOOKUP(Table1[[#This Row],[Customer ID]],customers!$A$1:$A$1001,customers!$I$1:$I$1001,,0)</f>
        <v>No</v>
      </c>
    </row>
    <row r="53" spans="1:16" x14ac:dyDescent="0.3">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6">
        <f>INDEX(products!$A$1:$G$49,MATCH(orders!$D53,products!$A$1:$A$49,0),MATCH(orders!K$1,products!$A$1:$G$1,0))</f>
        <v>2.5</v>
      </c>
      <c r="L53" s="5">
        <f>INDEX(products!$A$1:$G$49,MATCH(orders!$D53,products!$A$1:$A$49,0),MATCH(orders!L$1,products!$A$1:$G$1,0))</f>
        <v>36.454999999999998</v>
      </c>
      <c r="M53" s="4">
        <f t="shared" si="0"/>
        <v>145.82</v>
      </c>
      <c r="N53" t="str">
        <f t="shared" si="1"/>
        <v>Librica</v>
      </c>
      <c r="O53" t="str">
        <f t="shared" si="2"/>
        <v>Light</v>
      </c>
      <c r="P53" t="str">
        <f>_xlfn.XLOOKUP(Table1[[#This Row],[Customer ID]],customers!$A$1:$A$1001,customers!$I$1:$I$1001,,0)</f>
        <v>Yes</v>
      </c>
    </row>
    <row r="54" spans="1:16" x14ac:dyDescent="0.3">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6">
        <f>INDEX(products!$A$1:$G$49,MATCH(orders!$D54,products!$A$1:$A$49,0),MATCH(orders!K$1,products!$A$1:$G$1,0))</f>
        <v>0.5</v>
      </c>
      <c r="L54" s="5">
        <f>INDEX(products!$A$1:$G$49,MATCH(orders!$D54,products!$A$1:$A$49,0),MATCH(orders!L$1,products!$A$1:$G$1,0))</f>
        <v>5.97</v>
      </c>
      <c r="M54" s="4">
        <f t="shared" si="0"/>
        <v>29.849999999999998</v>
      </c>
      <c r="N54" t="str">
        <f t="shared" si="1"/>
        <v>Robusta</v>
      </c>
      <c r="O54" t="str">
        <f t="shared" si="2"/>
        <v>Medium</v>
      </c>
      <c r="P54" t="str">
        <f>_xlfn.XLOOKUP(Table1[[#This Row],[Customer ID]],customers!$A$1:$A$1001,customers!$I$1:$I$1001,,0)</f>
        <v>No</v>
      </c>
    </row>
    <row r="55" spans="1:16" x14ac:dyDescent="0.3">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6">
        <f>INDEX(products!$A$1:$G$49,MATCH(orders!$D55,products!$A$1:$A$49,0),MATCH(orders!K$1,products!$A$1:$G$1,0))</f>
        <v>2.5</v>
      </c>
      <c r="L55" s="5">
        <f>INDEX(products!$A$1:$G$49,MATCH(orders!$D55,products!$A$1:$A$49,0),MATCH(orders!L$1,products!$A$1:$G$1,0))</f>
        <v>36.454999999999998</v>
      </c>
      <c r="M55" s="4">
        <f t="shared" si="0"/>
        <v>72.91</v>
      </c>
      <c r="N55" t="str">
        <f t="shared" si="1"/>
        <v>Librica</v>
      </c>
      <c r="O55" t="str">
        <f t="shared" si="2"/>
        <v>Light</v>
      </c>
      <c r="P55" t="str">
        <f>_xlfn.XLOOKUP(Table1[[#This Row],[Customer ID]],customers!$A$1:$A$1001,customers!$I$1:$I$1001,,0)</f>
        <v>No</v>
      </c>
    </row>
    <row r="56" spans="1:16" x14ac:dyDescent="0.3">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6">
        <f>INDEX(products!$A$1:$G$49,MATCH(orders!$D56,products!$A$1:$A$49,0),MATCH(orders!K$1,products!$A$1:$G$1,0))</f>
        <v>1</v>
      </c>
      <c r="L56" s="5">
        <f>INDEX(products!$A$1:$G$49,MATCH(orders!$D56,products!$A$1:$A$49,0),MATCH(orders!L$1,products!$A$1:$G$1,0))</f>
        <v>14.55</v>
      </c>
      <c r="M56" s="4">
        <f t="shared" si="0"/>
        <v>72.75</v>
      </c>
      <c r="N56" t="str">
        <f t="shared" si="1"/>
        <v>Librica</v>
      </c>
      <c r="O56" t="str">
        <f t="shared" si="2"/>
        <v>Medium</v>
      </c>
      <c r="P56" t="str">
        <f>_xlfn.XLOOKUP(Table1[[#This Row],[Customer ID]],customers!$A$1:$A$1001,customers!$I$1:$I$1001,,0)</f>
        <v>No</v>
      </c>
    </row>
    <row r="57" spans="1:16" x14ac:dyDescent="0.3">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6">
        <f>INDEX(products!$A$1:$G$49,MATCH(orders!$D57,products!$A$1:$A$49,0),MATCH(orders!K$1,products!$A$1:$G$1,0))</f>
        <v>1</v>
      </c>
      <c r="L57" s="5">
        <f>INDEX(products!$A$1:$G$49,MATCH(orders!$D57,products!$A$1:$A$49,0),MATCH(orders!L$1,products!$A$1:$G$1,0))</f>
        <v>15.85</v>
      </c>
      <c r="M57" s="4">
        <f t="shared" si="0"/>
        <v>47.55</v>
      </c>
      <c r="N57" t="str">
        <f t="shared" si="1"/>
        <v>Librica</v>
      </c>
      <c r="O57" t="str">
        <f t="shared" si="2"/>
        <v>Light</v>
      </c>
      <c r="P57" t="str">
        <f>_xlfn.XLOOKUP(Table1[[#This Row],[Customer ID]],customers!$A$1:$A$1001,customers!$I$1:$I$1001,,0)</f>
        <v>No</v>
      </c>
    </row>
    <row r="58" spans="1:16" x14ac:dyDescent="0.3">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6">
        <f>INDEX(products!$A$1:$G$49,MATCH(orders!$D58,products!$A$1:$A$49,0),MATCH(orders!K$1,products!$A$1:$G$1,0))</f>
        <v>0.2</v>
      </c>
      <c r="L58" s="5">
        <f>INDEX(products!$A$1:$G$49,MATCH(orders!$D58,products!$A$1:$A$49,0),MATCH(orders!L$1,products!$A$1:$G$1,0))</f>
        <v>3.645</v>
      </c>
      <c r="M58" s="4">
        <f t="shared" si="0"/>
        <v>10.935</v>
      </c>
      <c r="N58" t="str">
        <f t="shared" si="1"/>
        <v>Excelsa</v>
      </c>
      <c r="O58" t="str">
        <f t="shared" si="2"/>
        <v>Dark</v>
      </c>
      <c r="P58" t="str">
        <f>_xlfn.XLOOKUP(Table1[[#This Row],[Customer ID]],customers!$A$1:$A$1001,customers!$I$1:$I$1001,,0)</f>
        <v>Yes</v>
      </c>
    </row>
    <row r="59" spans="1:16" x14ac:dyDescent="0.3">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6">
        <f>INDEX(products!$A$1:$G$49,MATCH(orders!$D59,products!$A$1:$A$49,0),MATCH(orders!K$1,products!$A$1:$G$1,0))</f>
        <v>1</v>
      </c>
      <c r="L59" s="5">
        <f>INDEX(products!$A$1:$G$49,MATCH(orders!$D59,products!$A$1:$A$49,0),MATCH(orders!L$1,products!$A$1:$G$1,0))</f>
        <v>14.85</v>
      </c>
      <c r="M59" s="4">
        <f t="shared" si="0"/>
        <v>59.4</v>
      </c>
      <c r="N59" t="str">
        <f t="shared" si="1"/>
        <v>Excelsa</v>
      </c>
      <c r="O59" t="str">
        <f t="shared" si="2"/>
        <v>Light</v>
      </c>
      <c r="P59" t="str">
        <f>_xlfn.XLOOKUP(Table1[[#This Row],[Customer ID]],customers!$A$1:$A$1001,customers!$I$1:$I$1001,,0)</f>
        <v>No</v>
      </c>
    </row>
    <row r="60" spans="1:16" x14ac:dyDescent="0.3">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6">
        <f>INDEX(products!$A$1:$G$49,MATCH(orders!$D60,products!$A$1:$A$49,0),MATCH(orders!K$1,products!$A$1:$G$1,0))</f>
        <v>2.5</v>
      </c>
      <c r="L60" s="5">
        <f>INDEX(products!$A$1:$G$49,MATCH(orders!$D60,products!$A$1:$A$49,0),MATCH(orders!L$1,products!$A$1:$G$1,0))</f>
        <v>29.784999999999997</v>
      </c>
      <c r="M60" s="4">
        <f t="shared" si="0"/>
        <v>89.35499999999999</v>
      </c>
      <c r="N60" t="str">
        <f t="shared" si="1"/>
        <v>Librica</v>
      </c>
      <c r="O60" t="str">
        <f t="shared" si="2"/>
        <v>Dark</v>
      </c>
      <c r="P60" t="str">
        <f>_xlfn.XLOOKUP(Table1[[#This Row],[Customer ID]],customers!$A$1:$A$1001,customers!$I$1:$I$1001,,0)</f>
        <v>Yes</v>
      </c>
    </row>
    <row r="61" spans="1:16" x14ac:dyDescent="0.3">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6">
        <f>INDEX(products!$A$1:$G$49,MATCH(orders!$D61,products!$A$1:$A$49,0),MATCH(orders!K$1,products!$A$1:$G$1,0))</f>
        <v>0.5</v>
      </c>
      <c r="L61" s="5">
        <f>INDEX(products!$A$1:$G$49,MATCH(orders!$D61,products!$A$1:$A$49,0),MATCH(orders!L$1,products!$A$1:$G$1,0))</f>
        <v>8.73</v>
      </c>
      <c r="M61" s="4">
        <f t="shared" si="0"/>
        <v>26.19</v>
      </c>
      <c r="N61" t="str">
        <f t="shared" si="1"/>
        <v>Librica</v>
      </c>
      <c r="O61" t="str">
        <f t="shared" si="2"/>
        <v>Medium</v>
      </c>
      <c r="P61" t="str">
        <f>_xlfn.XLOOKUP(Table1[[#This Row],[Customer ID]],customers!$A$1:$A$1001,customers!$I$1:$I$1001,,0)</f>
        <v>Yes</v>
      </c>
    </row>
    <row r="62" spans="1:16" x14ac:dyDescent="0.3">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6">
        <f>INDEX(products!$A$1:$G$49,MATCH(orders!$D62,products!$A$1:$A$49,0),MATCH(orders!K$1,products!$A$1:$G$1,0))</f>
        <v>2.5</v>
      </c>
      <c r="L62" s="5">
        <f>INDEX(products!$A$1:$G$49,MATCH(orders!$D62,products!$A$1:$A$49,0),MATCH(orders!L$1,products!$A$1:$G$1,0))</f>
        <v>22.884999999999998</v>
      </c>
      <c r="M62" s="4">
        <f t="shared" si="0"/>
        <v>114.42499999999998</v>
      </c>
      <c r="N62" t="str">
        <f t="shared" si="1"/>
        <v>Arabica</v>
      </c>
      <c r="O62" t="str">
        <f t="shared" si="2"/>
        <v>Dark</v>
      </c>
      <c r="P62" t="str">
        <f>_xlfn.XLOOKUP(Table1[[#This Row],[Customer ID]],customers!$A$1:$A$1001,customers!$I$1:$I$1001,,0)</f>
        <v>No</v>
      </c>
    </row>
    <row r="63" spans="1:16" x14ac:dyDescent="0.3">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6">
        <f>INDEX(products!$A$1:$G$49,MATCH(orders!$D63,products!$A$1:$A$49,0),MATCH(orders!K$1,products!$A$1:$G$1,0))</f>
        <v>0.5</v>
      </c>
      <c r="L63" s="5">
        <f>INDEX(products!$A$1:$G$49,MATCH(orders!$D63,products!$A$1:$A$49,0),MATCH(orders!L$1,products!$A$1:$G$1,0))</f>
        <v>5.3699999999999992</v>
      </c>
      <c r="M63" s="4">
        <f t="shared" si="0"/>
        <v>26.849999999999994</v>
      </c>
      <c r="N63" t="str">
        <f t="shared" si="1"/>
        <v>Robusta</v>
      </c>
      <c r="O63" t="str">
        <f t="shared" si="2"/>
        <v>Dark</v>
      </c>
      <c r="P63" t="str">
        <f>_xlfn.XLOOKUP(Table1[[#This Row],[Customer ID]],customers!$A$1:$A$1001,customers!$I$1:$I$1001,,0)</f>
        <v>Yes</v>
      </c>
    </row>
    <row r="64" spans="1:16" x14ac:dyDescent="0.3">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6">
        <f>INDEX(products!$A$1:$G$49,MATCH(orders!$D64,products!$A$1:$A$49,0),MATCH(orders!K$1,products!$A$1:$G$1,0))</f>
        <v>0.2</v>
      </c>
      <c r="L64" s="5">
        <f>INDEX(products!$A$1:$G$49,MATCH(orders!$D64,products!$A$1:$A$49,0),MATCH(orders!L$1,products!$A$1:$G$1,0))</f>
        <v>4.7549999999999999</v>
      </c>
      <c r="M64" s="4">
        <f t="shared" si="0"/>
        <v>23.774999999999999</v>
      </c>
      <c r="N64" t="str">
        <f t="shared" si="1"/>
        <v>Librica</v>
      </c>
      <c r="O64" t="str">
        <f t="shared" si="2"/>
        <v>Light</v>
      </c>
      <c r="P64" t="str">
        <f>_xlfn.XLOOKUP(Table1[[#This Row],[Customer ID]],customers!$A$1:$A$1001,customers!$I$1:$I$1001,,0)</f>
        <v>Yes</v>
      </c>
    </row>
    <row r="65" spans="1:16" x14ac:dyDescent="0.3">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6">
        <f>INDEX(products!$A$1:$G$49,MATCH(orders!$D65,products!$A$1:$A$49,0),MATCH(orders!K$1,products!$A$1:$G$1,0))</f>
        <v>0.5</v>
      </c>
      <c r="L65" s="5">
        <f>INDEX(products!$A$1:$G$49,MATCH(orders!$D65,products!$A$1:$A$49,0),MATCH(orders!L$1,products!$A$1:$G$1,0))</f>
        <v>6.75</v>
      </c>
      <c r="M65" s="4">
        <f t="shared" si="0"/>
        <v>6.75</v>
      </c>
      <c r="N65" t="str">
        <f t="shared" si="1"/>
        <v>Arabica</v>
      </c>
      <c r="O65" t="str">
        <f t="shared" si="2"/>
        <v>Medium</v>
      </c>
      <c r="P65" t="str">
        <f>_xlfn.XLOOKUP(Table1[[#This Row],[Customer ID]],customers!$A$1:$A$1001,customers!$I$1:$I$1001,,0)</f>
        <v>No</v>
      </c>
    </row>
    <row r="66" spans="1:16" x14ac:dyDescent="0.3">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6">
        <f>INDEX(products!$A$1:$G$49,MATCH(orders!$D66,products!$A$1:$A$49,0),MATCH(orders!K$1,products!$A$1:$G$1,0))</f>
        <v>0.5</v>
      </c>
      <c r="L66" s="5">
        <f>INDEX(products!$A$1:$G$49,MATCH(orders!$D66,products!$A$1:$A$49,0),MATCH(orders!L$1,products!$A$1:$G$1,0))</f>
        <v>5.97</v>
      </c>
      <c r="M66" s="4">
        <f t="shared" si="0"/>
        <v>35.82</v>
      </c>
      <c r="N66" t="str">
        <f t="shared" si="1"/>
        <v>Robusta</v>
      </c>
      <c r="O66" t="str">
        <f t="shared" si="2"/>
        <v>Medium</v>
      </c>
      <c r="P66" t="str">
        <f>_xlfn.XLOOKUP(Table1[[#This Row],[Customer ID]],customers!$A$1:$A$1001,customers!$I$1:$I$1001,,0)</f>
        <v>Yes</v>
      </c>
    </row>
    <row r="67" spans="1:16" x14ac:dyDescent="0.3">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6">
        <f>INDEX(products!$A$1:$G$49,MATCH(orders!$D67,products!$A$1:$A$49,0),MATCH(orders!K$1,products!$A$1:$G$1,0))</f>
        <v>2.5</v>
      </c>
      <c r="L67" s="5">
        <f>INDEX(products!$A$1:$G$49,MATCH(orders!$D67,products!$A$1:$A$49,0),MATCH(orders!L$1,products!$A$1:$G$1,0))</f>
        <v>20.584999999999997</v>
      </c>
      <c r="M67" s="4">
        <f t="shared" ref="M67:M130" si="3">L67*E67</f>
        <v>82.339999999999989</v>
      </c>
      <c r="N67" t="str">
        <f t="shared" ref="N67:N130" si="4">IF(I67="Rob","Robusta",IF(I67="Exc","Excelsa",IF(I67="Ara","Arabica",IF(I67="Lib","Librica",""))))</f>
        <v>Robusta</v>
      </c>
      <c r="O67" t="str">
        <f t="shared" ref="O67:O130" si="5">IF(J67="M","Medium",IF(J67="L","Light",IF(J67="D","Dark","")))</f>
        <v>Dark</v>
      </c>
      <c r="P67" t="str">
        <f>_xlfn.XLOOKUP(Table1[[#This Row],[Customer ID]],customers!$A$1:$A$1001,customers!$I$1:$I$1001,,0)</f>
        <v>Yes</v>
      </c>
    </row>
    <row r="68" spans="1:16" x14ac:dyDescent="0.3">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6">
        <f>INDEX(products!$A$1:$G$49,MATCH(orders!$D68,products!$A$1:$A$49,0),MATCH(orders!K$1,products!$A$1:$G$1,0))</f>
        <v>0.5</v>
      </c>
      <c r="L68" s="5">
        <f>INDEX(products!$A$1:$G$49,MATCH(orders!$D68,products!$A$1:$A$49,0),MATCH(orders!L$1,products!$A$1:$G$1,0))</f>
        <v>7.169999999999999</v>
      </c>
      <c r="M68" s="4">
        <f t="shared" si="3"/>
        <v>7.169999999999999</v>
      </c>
      <c r="N68" t="str">
        <f t="shared" si="4"/>
        <v>Robusta</v>
      </c>
      <c r="O68" t="str">
        <f t="shared" si="5"/>
        <v>Light</v>
      </c>
      <c r="P68" t="str">
        <f>_xlfn.XLOOKUP(Table1[[#This Row],[Customer ID]],customers!$A$1:$A$1001,customers!$I$1:$I$1001,,0)</f>
        <v>Yes</v>
      </c>
    </row>
    <row r="69" spans="1:16" x14ac:dyDescent="0.3">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6">
        <f>INDEX(products!$A$1:$G$49,MATCH(orders!$D69,products!$A$1:$A$49,0),MATCH(orders!K$1,products!$A$1:$G$1,0))</f>
        <v>0.2</v>
      </c>
      <c r="L69" s="5">
        <f>INDEX(products!$A$1:$G$49,MATCH(orders!$D69,products!$A$1:$A$49,0),MATCH(orders!L$1,products!$A$1:$G$1,0))</f>
        <v>4.7549999999999999</v>
      </c>
      <c r="M69" s="4">
        <f t="shared" si="3"/>
        <v>9.51</v>
      </c>
      <c r="N69" t="str">
        <f t="shared" si="4"/>
        <v>Librica</v>
      </c>
      <c r="O69" t="str">
        <f t="shared" si="5"/>
        <v>Light</v>
      </c>
      <c r="P69" t="str">
        <f>_xlfn.XLOOKUP(Table1[[#This Row],[Customer ID]],customers!$A$1:$A$1001,customers!$I$1:$I$1001,,0)</f>
        <v>No</v>
      </c>
    </row>
    <row r="70" spans="1:16" x14ac:dyDescent="0.3">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6">
        <f>INDEX(products!$A$1:$G$49,MATCH(orders!$D70,products!$A$1:$A$49,0),MATCH(orders!K$1,products!$A$1:$G$1,0))</f>
        <v>0.2</v>
      </c>
      <c r="L70" s="5">
        <f>INDEX(products!$A$1:$G$49,MATCH(orders!$D70,products!$A$1:$A$49,0),MATCH(orders!L$1,products!$A$1:$G$1,0))</f>
        <v>2.9849999999999999</v>
      </c>
      <c r="M70" s="4">
        <f t="shared" si="3"/>
        <v>2.9849999999999999</v>
      </c>
      <c r="N70" t="str">
        <f t="shared" si="4"/>
        <v>Robusta</v>
      </c>
      <c r="O70" t="str">
        <f t="shared" si="5"/>
        <v>Medium</v>
      </c>
      <c r="P70" t="str">
        <f>_xlfn.XLOOKUP(Table1[[#This Row],[Customer ID]],customers!$A$1:$A$1001,customers!$I$1:$I$1001,,0)</f>
        <v>No</v>
      </c>
    </row>
    <row r="71" spans="1:16" x14ac:dyDescent="0.3">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6">
        <f>INDEX(products!$A$1:$G$49,MATCH(orders!$D71,products!$A$1:$A$49,0),MATCH(orders!K$1,products!$A$1:$G$1,0))</f>
        <v>1</v>
      </c>
      <c r="L71" s="5">
        <f>INDEX(products!$A$1:$G$49,MATCH(orders!$D71,products!$A$1:$A$49,0),MATCH(orders!L$1,products!$A$1:$G$1,0))</f>
        <v>9.9499999999999993</v>
      </c>
      <c r="M71" s="4">
        <f t="shared" si="3"/>
        <v>59.699999999999996</v>
      </c>
      <c r="N71" t="str">
        <f t="shared" si="4"/>
        <v>Robusta</v>
      </c>
      <c r="O71" t="str">
        <f t="shared" si="5"/>
        <v>Medium</v>
      </c>
      <c r="P71" t="str">
        <f>_xlfn.XLOOKUP(Table1[[#This Row],[Customer ID]],customers!$A$1:$A$1001,customers!$I$1:$I$1001,,0)</f>
        <v>Yes</v>
      </c>
    </row>
    <row r="72" spans="1:16" x14ac:dyDescent="0.3">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6">
        <f>INDEX(products!$A$1:$G$49,MATCH(orders!$D72,products!$A$1:$A$49,0),MATCH(orders!K$1,products!$A$1:$G$1,0))</f>
        <v>2.5</v>
      </c>
      <c r="L72" s="5">
        <f>INDEX(products!$A$1:$G$49,MATCH(orders!$D72,products!$A$1:$A$49,0),MATCH(orders!L$1,products!$A$1:$G$1,0))</f>
        <v>34.154999999999994</v>
      </c>
      <c r="M72" s="4">
        <f t="shared" si="3"/>
        <v>136.61999999999998</v>
      </c>
      <c r="N72" t="str">
        <f t="shared" si="4"/>
        <v>Excelsa</v>
      </c>
      <c r="O72" t="str">
        <f t="shared" si="5"/>
        <v>Light</v>
      </c>
      <c r="P72" t="str">
        <f>_xlfn.XLOOKUP(Table1[[#This Row],[Customer ID]],customers!$A$1:$A$1001,customers!$I$1:$I$1001,,0)</f>
        <v>No</v>
      </c>
    </row>
    <row r="73" spans="1:16" x14ac:dyDescent="0.3">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6">
        <f>INDEX(products!$A$1:$G$49,MATCH(orders!$D73,products!$A$1:$A$49,0),MATCH(orders!K$1,products!$A$1:$G$1,0))</f>
        <v>0.2</v>
      </c>
      <c r="L73" s="5">
        <f>INDEX(products!$A$1:$G$49,MATCH(orders!$D73,products!$A$1:$A$49,0),MATCH(orders!L$1,products!$A$1:$G$1,0))</f>
        <v>4.7549999999999999</v>
      </c>
      <c r="M73" s="4">
        <f t="shared" si="3"/>
        <v>9.51</v>
      </c>
      <c r="N73" t="str">
        <f t="shared" si="4"/>
        <v>Librica</v>
      </c>
      <c r="O73" t="str">
        <f t="shared" si="5"/>
        <v>Light</v>
      </c>
      <c r="P73" t="str">
        <f>_xlfn.XLOOKUP(Table1[[#This Row],[Customer ID]],customers!$A$1:$A$1001,customers!$I$1:$I$1001,,0)</f>
        <v>No</v>
      </c>
    </row>
    <row r="74" spans="1:16" x14ac:dyDescent="0.3">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6">
        <f>INDEX(products!$A$1:$G$49,MATCH(orders!$D74,products!$A$1:$A$49,0),MATCH(orders!K$1,products!$A$1:$G$1,0))</f>
        <v>2.5</v>
      </c>
      <c r="L74" s="5">
        <f>INDEX(products!$A$1:$G$49,MATCH(orders!$D74,products!$A$1:$A$49,0),MATCH(orders!L$1,products!$A$1:$G$1,0))</f>
        <v>25.874999999999996</v>
      </c>
      <c r="M74" s="4">
        <f t="shared" si="3"/>
        <v>77.624999999999986</v>
      </c>
      <c r="N74" t="str">
        <f t="shared" si="4"/>
        <v>Arabica</v>
      </c>
      <c r="O74" t="str">
        <f t="shared" si="5"/>
        <v>Medium</v>
      </c>
      <c r="P74" t="str">
        <f>_xlfn.XLOOKUP(Table1[[#This Row],[Customer ID]],customers!$A$1:$A$1001,customers!$I$1:$I$1001,,0)</f>
        <v>No</v>
      </c>
    </row>
    <row r="75" spans="1:16" x14ac:dyDescent="0.3">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6">
        <f>INDEX(products!$A$1:$G$49,MATCH(orders!$D75,products!$A$1:$A$49,0),MATCH(orders!K$1,products!$A$1:$G$1,0))</f>
        <v>0.2</v>
      </c>
      <c r="L75" s="5">
        <f>INDEX(products!$A$1:$G$49,MATCH(orders!$D75,products!$A$1:$A$49,0),MATCH(orders!L$1,products!$A$1:$G$1,0))</f>
        <v>4.3650000000000002</v>
      </c>
      <c r="M75" s="4">
        <f t="shared" si="3"/>
        <v>21.825000000000003</v>
      </c>
      <c r="N75" t="str">
        <f t="shared" si="4"/>
        <v>Librica</v>
      </c>
      <c r="O75" t="str">
        <f t="shared" si="5"/>
        <v>Medium</v>
      </c>
      <c r="P75" t="str">
        <f>_xlfn.XLOOKUP(Table1[[#This Row],[Customer ID]],customers!$A$1:$A$1001,customers!$I$1:$I$1001,,0)</f>
        <v>Yes</v>
      </c>
    </row>
    <row r="76" spans="1:16" x14ac:dyDescent="0.3">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6">
        <f>INDEX(products!$A$1:$G$49,MATCH(orders!$D76,products!$A$1:$A$49,0),MATCH(orders!K$1,products!$A$1:$G$1,0))</f>
        <v>0.5</v>
      </c>
      <c r="L76" s="5">
        <f>INDEX(products!$A$1:$G$49,MATCH(orders!$D76,products!$A$1:$A$49,0),MATCH(orders!L$1,products!$A$1:$G$1,0))</f>
        <v>8.91</v>
      </c>
      <c r="M76" s="4">
        <f t="shared" si="3"/>
        <v>17.82</v>
      </c>
      <c r="N76" t="str">
        <f t="shared" si="4"/>
        <v>Excelsa</v>
      </c>
      <c r="O76" t="str">
        <f t="shared" si="5"/>
        <v>Light</v>
      </c>
      <c r="P76" t="str">
        <f>_xlfn.XLOOKUP(Table1[[#This Row],[Customer ID]],customers!$A$1:$A$1001,customers!$I$1:$I$1001,,0)</f>
        <v>Yes</v>
      </c>
    </row>
    <row r="77" spans="1:16" x14ac:dyDescent="0.3">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6">
        <f>INDEX(products!$A$1:$G$49,MATCH(orders!$D77,products!$A$1:$A$49,0),MATCH(orders!K$1,products!$A$1:$G$1,0))</f>
        <v>1</v>
      </c>
      <c r="L77" s="5">
        <f>INDEX(products!$A$1:$G$49,MATCH(orders!$D77,products!$A$1:$A$49,0),MATCH(orders!L$1,products!$A$1:$G$1,0))</f>
        <v>8.9499999999999993</v>
      </c>
      <c r="M77" s="4">
        <f t="shared" si="3"/>
        <v>53.699999999999996</v>
      </c>
      <c r="N77" t="str">
        <f t="shared" si="4"/>
        <v>Robusta</v>
      </c>
      <c r="O77" t="str">
        <f t="shared" si="5"/>
        <v>Dark</v>
      </c>
      <c r="P77" t="str">
        <f>_xlfn.XLOOKUP(Table1[[#This Row],[Customer ID]],customers!$A$1:$A$1001,customers!$I$1:$I$1001,,0)</f>
        <v>Yes</v>
      </c>
    </row>
    <row r="78" spans="1:16" x14ac:dyDescent="0.3">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6">
        <f>INDEX(products!$A$1:$G$49,MATCH(orders!$D78,products!$A$1:$A$49,0),MATCH(orders!K$1,products!$A$1:$G$1,0))</f>
        <v>0.2</v>
      </c>
      <c r="L78" s="5">
        <f>INDEX(products!$A$1:$G$49,MATCH(orders!$D78,products!$A$1:$A$49,0),MATCH(orders!L$1,products!$A$1:$G$1,0))</f>
        <v>3.5849999999999995</v>
      </c>
      <c r="M78" s="4">
        <f t="shared" si="3"/>
        <v>3.5849999999999995</v>
      </c>
      <c r="N78" t="str">
        <f t="shared" si="4"/>
        <v>Robusta</v>
      </c>
      <c r="O78" t="str">
        <f t="shared" si="5"/>
        <v>Light</v>
      </c>
      <c r="P78" t="str">
        <f>_xlfn.XLOOKUP(Table1[[#This Row],[Customer ID]],customers!$A$1:$A$1001,customers!$I$1:$I$1001,,0)</f>
        <v>Yes</v>
      </c>
    </row>
    <row r="79" spans="1:16" x14ac:dyDescent="0.3">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6">
        <f>INDEX(products!$A$1:$G$49,MATCH(orders!$D79,products!$A$1:$A$49,0),MATCH(orders!K$1,products!$A$1:$G$1,0))</f>
        <v>0.2</v>
      </c>
      <c r="L79" s="5">
        <f>INDEX(products!$A$1:$G$49,MATCH(orders!$D79,products!$A$1:$A$49,0),MATCH(orders!L$1,products!$A$1:$G$1,0))</f>
        <v>3.645</v>
      </c>
      <c r="M79" s="4">
        <f t="shared" si="3"/>
        <v>7.29</v>
      </c>
      <c r="N79" t="str">
        <f t="shared" si="4"/>
        <v>Excelsa</v>
      </c>
      <c r="O79" t="str">
        <f t="shared" si="5"/>
        <v>Dark</v>
      </c>
      <c r="P79" t="str">
        <f>_xlfn.XLOOKUP(Table1[[#This Row],[Customer ID]],customers!$A$1:$A$1001,customers!$I$1:$I$1001,,0)</f>
        <v>No</v>
      </c>
    </row>
    <row r="80" spans="1:16" x14ac:dyDescent="0.3">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6">
        <f>INDEX(products!$A$1:$G$49,MATCH(orders!$D80,products!$A$1:$A$49,0),MATCH(orders!K$1,products!$A$1:$G$1,0))</f>
        <v>0.5</v>
      </c>
      <c r="L80" s="5">
        <f>INDEX(products!$A$1:$G$49,MATCH(orders!$D80,products!$A$1:$A$49,0),MATCH(orders!L$1,products!$A$1:$G$1,0))</f>
        <v>6.75</v>
      </c>
      <c r="M80" s="4">
        <f t="shared" si="3"/>
        <v>40.5</v>
      </c>
      <c r="N80" t="str">
        <f t="shared" si="4"/>
        <v>Arabica</v>
      </c>
      <c r="O80" t="str">
        <f t="shared" si="5"/>
        <v>Medium</v>
      </c>
      <c r="P80" t="str">
        <f>_xlfn.XLOOKUP(Table1[[#This Row],[Customer ID]],customers!$A$1:$A$1001,customers!$I$1:$I$1001,,0)</f>
        <v>Yes</v>
      </c>
    </row>
    <row r="81" spans="1:16" x14ac:dyDescent="0.3">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6">
        <f>INDEX(products!$A$1:$G$49,MATCH(orders!$D81,products!$A$1:$A$49,0),MATCH(orders!K$1,products!$A$1:$G$1,0))</f>
        <v>1</v>
      </c>
      <c r="L81" s="5">
        <f>INDEX(products!$A$1:$G$49,MATCH(orders!$D81,products!$A$1:$A$49,0),MATCH(orders!L$1,products!$A$1:$G$1,0))</f>
        <v>11.95</v>
      </c>
      <c r="M81" s="4">
        <f t="shared" si="3"/>
        <v>47.8</v>
      </c>
      <c r="N81" t="str">
        <f t="shared" si="4"/>
        <v>Robusta</v>
      </c>
      <c r="O81" t="str">
        <f t="shared" si="5"/>
        <v>Light</v>
      </c>
      <c r="P81" t="str">
        <f>_xlfn.XLOOKUP(Table1[[#This Row],[Customer ID]],customers!$A$1:$A$1001,customers!$I$1:$I$1001,,0)</f>
        <v>No</v>
      </c>
    </row>
    <row r="82" spans="1:16" x14ac:dyDescent="0.3">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6">
        <f>INDEX(products!$A$1:$G$49,MATCH(orders!$D82,products!$A$1:$A$49,0),MATCH(orders!K$1,products!$A$1:$G$1,0))</f>
        <v>0.5</v>
      </c>
      <c r="L82" s="5">
        <f>INDEX(products!$A$1:$G$49,MATCH(orders!$D82,products!$A$1:$A$49,0),MATCH(orders!L$1,products!$A$1:$G$1,0))</f>
        <v>7.77</v>
      </c>
      <c r="M82" s="4">
        <f t="shared" si="3"/>
        <v>38.849999999999994</v>
      </c>
      <c r="N82" t="str">
        <f t="shared" si="4"/>
        <v>Arabica</v>
      </c>
      <c r="O82" t="str">
        <f t="shared" si="5"/>
        <v>Light</v>
      </c>
      <c r="P82" t="str">
        <f>_xlfn.XLOOKUP(Table1[[#This Row],[Customer ID]],customers!$A$1:$A$1001,customers!$I$1:$I$1001,,0)</f>
        <v>Yes</v>
      </c>
    </row>
    <row r="83" spans="1:16" x14ac:dyDescent="0.3">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6">
        <f>INDEX(products!$A$1:$G$49,MATCH(orders!$D83,products!$A$1:$A$49,0),MATCH(orders!K$1,products!$A$1:$G$1,0))</f>
        <v>2.5</v>
      </c>
      <c r="L83" s="5">
        <f>INDEX(products!$A$1:$G$49,MATCH(orders!$D83,products!$A$1:$A$49,0),MATCH(orders!L$1,products!$A$1:$G$1,0))</f>
        <v>36.454999999999998</v>
      </c>
      <c r="M83" s="4">
        <f t="shared" si="3"/>
        <v>109.36499999999999</v>
      </c>
      <c r="N83" t="str">
        <f t="shared" si="4"/>
        <v>Librica</v>
      </c>
      <c r="O83" t="str">
        <f t="shared" si="5"/>
        <v>Light</v>
      </c>
      <c r="P83" t="str">
        <f>_xlfn.XLOOKUP(Table1[[#This Row],[Customer ID]],customers!$A$1:$A$1001,customers!$I$1:$I$1001,,0)</f>
        <v>Yes</v>
      </c>
    </row>
    <row r="84" spans="1:16" x14ac:dyDescent="0.3">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6">
        <f>INDEX(products!$A$1:$G$49,MATCH(orders!$D84,products!$A$1:$A$49,0),MATCH(orders!K$1,products!$A$1:$G$1,0))</f>
        <v>2.5</v>
      </c>
      <c r="L84" s="5">
        <f>INDEX(products!$A$1:$G$49,MATCH(orders!$D84,products!$A$1:$A$49,0),MATCH(orders!L$1,products!$A$1:$G$1,0))</f>
        <v>33.464999999999996</v>
      </c>
      <c r="M84" s="4">
        <f t="shared" si="3"/>
        <v>100.39499999999998</v>
      </c>
      <c r="N84" t="str">
        <f t="shared" si="4"/>
        <v>Librica</v>
      </c>
      <c r="O84" t="str">
        <f t="shared" si="5"/>
        <v>Medium</v>
      </c>
      <c r="P84" t="str">
        <f>_xlfn.XLOOKUP(Table1[[#This Row],[Customer ID]],customers!$A$1:$A$1001,customers!$I$1:$I$1001,,0)</f>
        <v>Yes</v>
      </c>
    </row>
    <row r="85" spans="1:16" x14ac:dyDescent="0.3">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6">
        <f>INDEX(products!$A$1:$G$49,MATCH(orders!$D85,products!$A$1:$A$49,0),MATCH(orders!K$1,products!$A$1:$G$1,0))</f>
        <v>2.5</v>
      </c>
      <c r="L85" s="5">
        <f>INDEX(products!$A$1:$G$49,MATCH(orders!$D85,products!$A$1:$A$49,0),MATCH(orders!L$1,products!$A$1:$G$1,0))</f>
        <v>20.584999999999997</v>
      </c>
      <c r="M85" s="4">
        <f t="shared" si="3"/>
        <v>82.339999999999989</v>
      </c>
      <c r="N85" t="str">
        <f t="shared" si="4"/>
        <v>Robusta</v>
      </c>
      <c r="O85" t="str">
        <f t="shared" si="5"/>
        <v>Dark</v>
      </c>
      <c r="P85" t="str">
        <f>_xlfn.XLOOKUP(Table1[[#This Row],[Customer ID]],customers!$A$1:$A$1001,customers!$I$1:$I$1001,,0)</f>
        <v>Yes</v>
      </c>
    </row>
    <row r="86" spans="1:16" x14ac:dyDescent="0.3">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6">
        <f>INDEX(products!$A$1:$G$49,MATCH(orders!$D86,products!$A$1:$A$49,0),MATCH(orders!K$1,products!$A$1:$G$1,0))</f>
        <v>0.5</v>
      </c>
      <c r="L86" s="5">
        <f>INDEX(products!$A$1:$G$49,MATCH(orders!$D86,products!$A$1:$A$49,0),MATCH(orders!L$1,products!$A$1:$G$1,0))</f>
        <v>9.51</v>
      </c>
      <c r="M86" s="4">
        <f t="shared" si="3"/>
        <v>9.51</v>
      </c>
      <c r="N86" t="str">
        <f t="shared" si="4"/>
        <v>Librica</v>
      </c>
      <c r="O86" t="str">
        <f t="shared" si="5"/>
        <v>Light</v>
      </c>
      <c r="P86" t="str">
        <f>_xlfn.XLOOKUP(Table1[[#This Row],[Customer ID]],customers!$A$1:$A$1001,customers!$I$1:$I$1001,,0)</f>
        <v>No</v>
      </c>
    </row>
    <row r="87" spans="1:16" x14ac:dyDescent="0.3">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6">
        <f>INDEX(products!$A$1:$G$49,MATCH(orders!$D87,products!$A$1:$A$49,0),MATCH(orders!K$1,products!$A$1:$G$1,0))</f>
        <v>2.5</v>
      </c>
      <c r="L87" s="5">
        <f>INDEX(products!$A$1:$G$49,MATCH(orders!$D87,products!$A$1:$A$49,0),MATCH(orders!L$1,products!$A$1:$G$1,0))</f>
        <v>29.784999999999997</v>
      </c>
      <c r="M87" s="4">
        <f t="shared" si="3"/>
        <v>89.35499999999999</v>
      </c>
      <c r="N87" t="str">
        <f t="shared" si="4"/>
        <v>Arabica</v>
      </c>
      <c r="O87" t="str">
        <f t="shared" si="5"/>
        <v>Light</v>
      </c>
      <c r="P87" t="str">
        <f>_xlfn.XLOOKUP(Table1[[#This Row],[Customer ID]],customers!$A$1:$A$1001,customers!$I$1:$I$1001,,0)</f>
        <v>No</v>
      </c>
    </row>
    <row r="88" spans="1:16" x14ac:dyDescent="0.3">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6">
        <f>INDEX(products!$A$1:$G$49,MATCH(orders!$D88,products!$A$1:$A$49,0),MATCH(orders!K$1,products!$A$1:$G$1,0))</f>
        <v>0.2</v>
      </c>
      <c r="L88" s="5">
        <f>INDEX(products!$A$1:$G$49,MATCH(orders!$D88,products!$A$1:$A$49,0),MATCH(orders!L$1,products!$A$1:$G$1,0))</f>
        <v>2.9849999999999999</v>
      </c>
      <c r="M88" s="4">
        <f t="shared" si="3"/>
        <v>11.94</v>
      </c>
      <c r="N88" t="str">
        <f t="shared" si="4"/>
        <v>Arabica</v>
      </c>
      <c r="O88" t="str">
        <f t="shared" si="5"/>
        <v>Dark</v>
      </c>
      <c r="P88" t="str">
        <f>_xlfn.XLOOKUP(Table1[[#This Row],[Customer ID]],customers!$A$1:$A$1001,customers!$I$1:$I$1001,,0)</f>
        <v>No</v>
      </c>
    </row>
    <row r="89" spans="1:16" x14ac:dyDescent="0.3">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6">
        <f>INDEX(products!$A$1:$G$49,MATCH(orders!$D89,products!$A$1:$A$49,0),MATCH(orders!K$1,products!$A$1:$G$1,0))</f>
        <v>1</v>
      </c>
      <c r="L89" s="5">
        <f>INDEX(products!$A$1:$G$49,MATCH(orders!$D89,products!$A$1:$A$49,0),MATCH(orders!L$1,products!$A$1:$G$1,0))</f>
        <v>11.25</v>
      </c>
      <c r="M89" s="4">
        <f t="shared" si="3"/>
        <v>33.75</v>
      </c>
      <c r="N89" t="str">
        <f t="shared" si="4"/>
        <v>Arabica</v>
      </c>
      <c r="O89" t="str">
        <f t="shared" si="5"/>
        <v>Medium</v>
      </c>
      <c r="P89" t="str">
        <f>_xlfn.XLOOKUP(Table1[[#This Row],[Customer ID]],customers!$A$1:$A$1001,customers!$I$1:$I$1001,,0)</f>
        <v>No</v>
      </c>
    </row>
    <row r="90" spans="1:16" x14ac:dyDescent="0.3">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6">
        <f>INDEX(products!$A$1:$G$49,MATCH(orders!$D90,products!$A$1:$A$49,0),MATCH(orders!K$1,products!$A$1:$G$1,0))</f>
        <v>1</v>
      </c>
      <c r="L90" s="5">
        <f>INDEX(products!$A$1:$G$49,MATCH(orders!$D90,products!$A$1:$A$49,0),MATCH(orders!L$1,products!$A$1:$G$1,0))</f>
        <v>11.95</v>
      </c>
      <c r="M90" s="4">
        <f t="shared" si="3"/>
        <v>35.849999999999994</v>
      </c>
      <c r="N90" t="str">
        <f t="shared" si="4"/>
        <v>Robusta</v>
      </c>
      <c r="O90" t="str">
        <f t="shared" si="5"/>
        <v>Light</v>
      </c>
      <c r="P90" t="str">
        <f>_xlfn.XLOOKUP(Table1[[#This Row],[Customer ID]],customers!$A$1:$A$1001,customers!$I$1:$I$1001,,0)</f>
        <v>No</v>
      </c>
    </row>
    <row r="91" spans="1:16" x14ac:dyDescent="0.3">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6">
        <f>INDEX(products!$A$1:$G$49,MATCH(orders!$D91,products!$A$1:$A$49,0),MATCH(orders!K$1,products!$A$1:$G$1,0))</f>
        <v>1</v>
      </c>
      <c r="L91" s="5">
        <f>INDEX(products!$A$1:$G$49,MATCH(orders!$D91,products!$A$1:$A$49,0),MATCH(orders!L$1,products!$A$1:$G$1,0))</f>
        <v>12.95</v>
      </c>
      <c r="M91" s="4">
        <f t="shared" si="3"/>
        <v>77.699999999999989</v>
      </c>
      <c r="N91" t="str">
        <f t="shared" si="4"/>
        <v>Arabica</v>
      </c>
      <c r="O91" t="str">
        <f t="shared" si="5"/>
        <v>Light</v>
      </c>
      <c r="P91" t="str">
        <f>_xlfn.XLOOKUP(Table1[[#This Row],[Customer ID]],customers!$A$1:$A$1001,customers!$I$1:$I$1001,,0)</f>
        <v>No</v>
      </c>
    </row>
    <row r="92" spans="1:16" x14ac:dyDescent="0.3">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6">
        <f>INDEX(products!$A$1:$G$49,MATCH(orders!$D92,products!$A$1:$A$49,0),MATCH(orders!K$1,products!$A$1:$G$1,0))</f>
        <v>1</v>
      </c>
      <c r="L92" s="5">
        <f>INDEX(products!$A$1:$G$49,MATCH(orders!$D92,products!$A$1:$A$49,0),MATCH(orders!L$1,products!$A$1:$G$1,0))</f>
        <v>12.95</v>
      </c>
      <c r="M92" s="4">
        <f t="shared" si="3"/>
        <v>51.8</v>
      </c>
      <c r="N92" t="str">
        <f t="shared" si="4"/>
        <v>Arabica</v>
      </c>
      <c r="O92" t="str">
        <f t="shared" si="5"/>
        <v>Light</v>
      </c>
      <c r="P92" t="str">
        <f>_xlfn.XLOOKUP(Table1[[#This Row],[Customer ID]],customers!$A$1:$A$1001,customers!$I$1:$I$1001,,0)</f>
        <v>Yes</v>
      </c>
    </row>
    <row r="93" spans="1:16" x14ac:dyDescent="0.3">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6">
        <f>INDEX(products!$A$1:$G$49,MATCH(orders!$D93,products!$A$1:$A$49,0),MATCH(orders!K$1,products!$A$1:$G$1,0))</f>
        <v>2.5</v>
      </c>
      <c r="L93" s="5">
        <f>INDEX(products!$A$1:$G$49,MATCH(orders!$D93,products!$A$1:$A$49,0),MATCH(orders!L$1,products!$A$1:$G$1,0))</f>
        <v>25.874999999999996</v>
      </c>
      <c r="M93" s="4">
        <f t="shared" si="3"/>
        <v>103.49999999999999</v>
      </c>
      <c r="N93" t="str">
        <f t="shared" si="4"/>
        <v>Arabica</v>
      </c>
      <c r="O93" t="str">
        <f t="shared" si="5"/>
        <v>Medium</v>
      </c>
      <c r="P93" t="str">
        <f>_xlfn.XLOOKUP(Table1[[#This Row],[Customer ID]],customers!$A$1:$A$1001,customers!$I$1:$I$1001,,0)</f>
        <v>No</v>
      </c>
    </row>
    <row r="94" spans="1:16" x14ac:dyDescent="0.3">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6">
        <f>INDEX(products!$A$1:$G$49,MATCH(orders!$D94,products!$A$1:$A$49,0),MATCH(orders!K$1,products!$A$1:$G$1,0))</f>
        <v>1</v>
      </c>
      <c r="L94" s="5">
        <f>INDEX(products!$A$1:$G$49,MATCH(orders!$D94,products!$A$1:$A$49,0),MATCH(orders!L$1,products!$A$1:$G$1,0))</f>
        <v>14.85</v>
      </c>
      <c r="M94" s="4">
        <f t="shared" si="3"/>
        <v>44.55</v>
      </c>
      <c r="N94" t="str">
        <f t="shared" si="4"/>
        <v>Excelsa</v>
      </c>
      <c r="O94" t="str">
        <f t="shared" si="5"/>
        <v>Light</v>
      </c>
      <c r="P94" t="str">
        <f>_xlfn.XLOOKUP(Table1[[#This Row],[Customer ID]],customers!$A$1:$A$1001,customers!$I$1:$I$1001,,0)</f>
        <v>Yes</v>
      </c>
    </row>
    <row r="95" spans="1:16" x14ac:dyDescent="0.3">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6">
        <f>INDEX(products!$A$1:$G$49,MATCH(orders!$D95,products!$A$1:$A$49,0),MATCH(orders!K$1,products!$A$1:$G$1,0))</f>
        <v>0.5</v>
      </c>
      <c r="L95" s="5">
        <f>INDEX(products!$A$1:$G$49,MATCH(orders!$D95,products!$A$1:$A$49,0),MATCH(orders!L$1,products!$A$1:$G$1,0))</f>
        <v>8.91</v>
      </c>
      <c r="M95" s="4">
        <f t="shared" si="3"/>
        <v>35.64</v>
      </c>
      <c r="N95" t="str">
        <f t="shared" si="4"/>
        <v>Excelsa</v>
      </c>
      <c r="O95" t="str">
        <f t="shared" si="5"/>
        <v>Light</v>
      </c>
      <c r="P95" t="str">
        <f>_xlfn.XLOOKUP(Table1[[#This Row],[Customer ID]],customers!$A$1:$A$1001,customers!$I$1:$I$1001,,0)</f>
        <v>Yes</v>
      </c>
    </row>
    <row r="96" spans="1:16" x14ac:dyDescent="0.3">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6">
        <f>INDEX(products!$A$1:$G$49,MATCH(orders!$D96,products!$A$1:$A$49,0),MATCH(orders!K$1,products!$A$1:$G$1,0))</f>
        <v>0.2</v>
      </c>
      <c r="L96" s="5">
        <f>INDEX(products!$A$1:$G$49,MATCH(orders!$D96,products!$A$1:$A$49,0),MATCH(orders!L$1,products!$A$1:$G$1,0))</f>
        <v>2.9849999999999999</v>
      </c>
      <c r="M96" s="4">
        <f t="shared" si="3"/>
        <v>17.91</v>
      </c>
      <c r="N96" t="str">
        <f t="shared" si="4"/>
        <v>Arabica</v>
      </c>
      <c r="O96" t="str">
        <f t="shared" si="5"/>
        <v>Dark</v>
      </c>
      <c r="P96" t="str">
        <f>_xlfn.XLOOKUP(Table1[[#This Row],[Customer ID]],customers!$A$1:$A$1001,customers!$I$1:$I$1001,,0)</f>
        <v>Yes</v>
      </c>
    </row>
    <row r="97" spans="1:16" x14ac:dyDescent="0.3">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6">
        <f>INDEX(products!$A$1:$G$49,MATCH(orders!$D97,products!$A$1:$A$49,0),MATCH(orders!K$1,products!$A$1:$G$1,0))</f>
        <v>2.5</v>
      </c>
      <c r="L97" s="5">
        <f>INDEX(products!$A$1:$G$49,MATCH(orders!$D97,products!$A$1:$A$49,0),MATCH(orders!L$1,products!$A$1:$G$1,0))</f>
        <v>25.874999999999996</v>
      </c>
      <c r="M97" s="4">
        <f t="shared" si="3"/>
        <v>155.24999999999997</v>
      </c>
      <c r="N97" t="str">
        <f t="shared" si="4"/>
        <v>Arabica</v>
      </c>
      <c r="O97" t="str">
        <f t="shared" si="5"/>
        <v>Medium</v>
      </c>
      <c r="P97" t="str">
        <f>_xlfn.XLOOKUP(Table1[[#This Row],[Customer ID]],customers!$A$1:$A$1001,customers!$I$1:$I$1001,,0)</f>
        <v>No</v>
      </c>
    </row>
    <row r="98" spans="1:16" x14ac:dyDescent="0.3">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6">
        <f>INDEX(products!$A$1:$G$49,MATCH(orders!$D98,products!$A$1:$A$49,0),MATCH(orders!K$1,products!$A$1:$G$1,0))</f>
        <v>0.2</v>
      </c>
      <c r="L98" s="5">
        <f>INDEX(products!$A$1:$G$49,MATCH(orders!$D98,products!$A$1:$A$49,0),MATCH(orders!L$1,products!$A$1:$G$1,0))</f>
        <v>2.9849999999999999</v>
      </c>
      <c r="M98" s="4">
        <f t="shared" si="3"/>
        <v>5.97</v>
      </c>
      <c r="N98" t="str">
        <f t="shared" si="4"/>
        <v>Arabica</v>
      </c>
      <c r="O98" t="str">
        <f t="shared" si="5"/>
        <v>Dark</v>
      </c>
      <c r="P98" t="str">
        <f>_xlfn.XLOOKUP(Table1[[#This Row],[Customer ID]],customers!$A$1:$A$1001,customers!$I$1:$I$1001,,0)</f>
        <v>No</v>
      </c>
    </row>
    <row r="99" spans="1:16" x14ac:dyDescent="0.3">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6">
        <f>INDEX(products!$A$1:$G$49,MATCH(orders!$D99,products!$A$1:$A$49,0),MATCH(orders!K$1,products!$A$1:$G$1,0))</f>
        <v>0.5</v>
      </c>
      <c r="L99" s="5">
        <f>INDEX(products!$A$1:$G$49,MATCH(orders!$D99,products!$A$1:$A$49,0),MATCH(orders!L$1,products!$A$1:$G$1,0))</f>
        <v>6.75</v>
      </c>
      <c r="M99" s="4">
        <f t="shared" si="3"/>
        <v>13.5</v>
      </c>
      <c r="N99" t="str">
        <f t="shared" si="4"/>
        <v>Arabica</v>
      </c>
      <c r="O99" t="str">
        <f t="shared" si="5"/>
        <v>Medium</v>
      </c>
      <c r="P99" t="str">
        <f>_xlfn.XLOOKUP(Table1[[#This Row],[Customer ID]],customers!$A$1:$A$1001,customers!$I$1:$I$1001,,0)</f>
        <v>No</v>
      </c>
    </row>
    <row r="100" spans="1:16" x14ac:dyDescent="0.3">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6">
        <f>INDEX(products!$A$1:$G$49,MATCH(orders!$D100,products!$A$1:$A$49,0),MATCH(orders!K$1,products!$A$1:$G$1,0))</f>
        <v>0.2</v>
      </c>
      <c r="L100" s="5">
        <f>INDEX(products!$A$1:$G$49,MATCH(orders!$D100,products!$A$1:$A$49,0),MATCH(orders!L$1,products!$A$1:$G$1,0))</f>
        <v>2.9849999999999999</v>
      </c>
      <c r="M100" s="4">
        <f t="shared" si="3"/>
        <v>2.9849999999999999</v>
      </c>
      <c r="N100" t="str">
        <f t="shared" si="4"/>
        <v>Arabica</v>
      </c>
      <c r="O100" t="str">
        <f t="shared" si="5"/>
        <v>Dark</v>
      </c>
      <c r="P100" t="str">
        <f>_xlfn.XLOOKUP(Table1[[#This Row],[Customer ID]],customers!$A$1:$A$1001,customers!$I$1:$I$1001,,0)</f>
        <v>No</v>
      </c>
    </row>
    <row r="101" spans="1:16" x14ac:dyDescent="0.3">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6">
        <f>INDEX(products!$A$1:$G$49,MATCH(orders!$D101,products!$A$1:$A$49,0),MATCH(orders!K$1,products!$A$1:$G$1,0))</f>
        <v>0.2</v>
      </c>
      <c r="L101" s="5">
        <f>INDEX(products!$A$1:$G$49,MATCH(orders!$D101,products!$A$1:$A$49,0),MATCH(orders!L$1,products!$A$1:$G$1,0))</f>
        <v>4.3650000000000002</v>
      </c>
      <c r="M101" s="4">
        <f t="shared" si="3"/>
        <v>13.095000000000001</v>
      </c>
      <c r="N101" t="str">
        <f t="shared" si="4"/>
        <v>Librica</v>
      </c>
      <c r="O101" t="str">
        <f t="shared" si="5"/>
        <v>Medium</v>
      </c>
      <c r="P101" t="str">
        <f>_xlfn.XLOOKUP(Table1[[#This Row],[Customer ID]],customers!$A$1:$A$1001,customers!$I$1:$I$1001,,0)</f>
        <v>Yes</v>
      </c>
    </row>
    <row r="102" spans="1:16" x14ac:dyDescent="0.3">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6">
        <f>INDEX(products!$A$1:$G$49,MATCH(orders!$D102,products!$A$1:$A$49,0),MATCH(orders!K$1,products!$A$1:$G$1,0))</f>
        <v>0.2</v>
      </c>
      <c r="L102" s="5">
        <f>INDEX(products!$A$1:$G$49,MATCH(orders!$D102,products!$A$1:$A$49,0),MATCH(orders!L$1,products!$A$1:$G$1,0))</f>
        <v>3.8849999999999998</v>
      </c>
      <c r="M102" s="4">
        <f t="shared" si="3"/>
        <v>7.77</v>
      </c>
      <c r="N102" t="str">
        <f t="shared" si="4"/>
        <v>Arabica</v>
      </c>
      <c r="O102" t="str">
        <f t="shared" si="5"/>
        <v>Light</v>
      </c>
      <c r="P102" t="str">
        <f>_xlfn.XLOOKUP(Table1[[#This Row],[Customer ID]],customers!$A$1:$A$1001,customers!$I$1:$I$1001,,0)</f>
        <v>Yes</v>
      </c>
    </row>
    <row r="103" spans="1:16" x14ac:dyDescent="0.3">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6">
        <f>INDEX(products!$A$1:$G$49,MATCH(orders!$D103,products!$A$1:$A$49,0),MATCH(orders!K$1,products!$A$1:$G$1,0))</f>
        <v>2.5</v>
      </c>
      <c r="L103" s="5">
        <f>INDEX(products!$A$1:$G$49,MATCH(orders!$D103,products!$A$1:$A$49,0),MATCH(orders!L$1,products!$A$1:$G$1,0))</f>
        <v>29.784999999999997</v>
      </c>
      <c r="M103" s="4">
        <f t="shared" si="3"/>
        <v>148.92499999999998</v>
      </c>
      <c r="N103" t="str">
        <f t="shared" si="4"/>
        <v>Librica</v>
      </c>
      <c r="O103" t="str">
        <f t="shared" si="5"/>
        <v>Dark</v>
      </c>
      <c r="P103" t="str">
        <f>_xlfn.XLOOKUP(Table1[[#This Row],[Customer ID]],customers!$A$1:$A$1001,customers!$I$1:$I$1001,,0)</f>
        <v>Yes</v>
      </c>
    </row>
    <row r="104" spans="1:16" x14ac:dyDescent="0.3">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6">
        <f>INDEX(products!$A$1:$G$49,MATCH(orders!$D104,products!$A$1:$A$49,0),MATCH(orders!K$1,products!$A$1:$G$1,0))</f>
        <v>1</v>
      </c>
      <c r="L104" s="5">
        <f>INDEX(products!$A$1:$G$49,MATCH(orders!$D104,products!$A$1:$A$49,0),MATCH(orders!L$1,products!$A$1:$G$1,0))</f>
        <v>12.95</v>
      </c>
      <c r="M104" s="4">
        <f t="shared" si="3"/>
        <v>38.849999999999994</v>
      </c>
      <c r="N104" t="str">
        <f t="shared" si="4"/>
        <v>Librica</v>
      </c>
      <c r="O104" t="str">
        <f t="shared" si="5"/>
        <v>Dark</v>
      </c>
      <c r="P104" t="str">
        <f>_xlfn.XLOOKUP(Table1[[#This Row],[Customer ID]],customers!$A$1:$A$1001,customers!$I$1:$I$1001,,0)</f>
        <v>Yes</v>
      </c>
    </row>
    <row r="105" spans="1:16" x14ac:dyDescent="0.3">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6">
        <f>INDEX(products!$A$1:$G$49,MATCH(orders!$D105,products!$A$1:$A$49,0),MATCH(orders!K$1,products!$A$1:$G$1,0))</f>
        <v>0.2</v>
      </c>
      <c r="L105" s="5">
        <f>INDEX(products!$A$1:$G$49,MATCH(orders!$D105,products!$A$1:$A$49,0),MATCH(orders!L$1,products!$A$1:$G$1,0))</f>
        <v>2.9849999999999999</v>
      </c>
      <c r="M105" s="4">
        <f t="shared" si="3"/>
        <v>11.94</v>
      </c>
      <c r="N105" t="str">
        <f t="shared" si="4"/>
        <v>Robusta</v>
      </c>
      <c r="O105" t="str">
        <f t="shared" si="5"/>
        <v>Medium</v>
      </c>
      <c r="P105" t="str">
        <f>_xlfn.XLOOKUP(Table1[[#This Row],[Customer ID]],customers!$A$1:$A$1001,customers!$I$1:$I$1001,,0)</f>
        <v>No</v>
      </c>
    </row>
    <row r="106" spans="1:16" x14ac:dyDescent="0.3">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6">
        <f>INDEX(products!$A$1:$G$49,MATCH(orders!$D106,products!$A$1:$A$49,0),MATCH(orders!K$1,products!$A$1:$G$1,0))</f>
        <v>1</v>
      </c>
      <c r="L106" s="5">
        <f>INDEX(products!$A$1:$G$49,MATCH(orders!$D106,products!$A$1:$A$49,0),MATCH(orders!L$1,products!$A$1:$G$1,0))</f>
        <v>14.55</v>
      </c>
      <c r="M106" s="4">
        <f t="shared" si="3"/>
        <v>87.300000000000011</v>
      </c>
      <c r="N106" t="str">
        <f t="shared" si="4"/>
        <v>Librica</v>
      </c>
      <c r="O106" t="str">
        <f t="shared" si="5"/>
        <v>Medium</v>
      </c>
      <c r="P106" t="str">
        <f>_xlfn.XLOOKUP(Table1[[#This Row],[Customer ID]],customers!$A$1:$A$1001,customers!$I$1:$I$1001,,0)</f>
        <v>No</v>
      </c>
    </row>
    <row r="107" spans="1:16" x14ac:dyDescent="0.3">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6">
        <f>INDEX(products!$A$1:$G$49,MATCH(orders!$D107,products!$A$1:$A$49,0),MATCH(orders!K$1,products!$A$1:$G$1,0))</f>
        <v>0.5</v>
      </c>
      <c r="L107" s="5">
        <f>INDEX(products!$A$1:$G$49,MATCH(orders!$D107,products!$A$1:$A$49,0),MATCH(orders!L$1,products!$A$1:$G$1,0))</f>
        <v>6.75</v>
      </c>
      <c r="M107" s="4">
        <f t="shared" si="3"/>
        <v>40.5</v>
      </c>
      <c r="N107" t="str">
        <f t="shared" si="4"/>
        <v>Arabica</v>
      </c>
      <c r="O107" t="str">
        <f t="shared" si="5"/>
        <v>Medium</v>
      </c>
      <c r="P107" t="str">
        <f>_xlfn.XLOOKUP(Table1[[#This Row],[Customer ID]],customers!$A$1:$A$1001,customers!$I$1:$I$1001,,0)</f>
        <v>Yes</v>
      </c>
    </row>
    <row r="108" spans="1:16" x14ac:dyDescent="0.3">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6">
        <f>INDEX(products!$A$1:$G$49,MATCH(orders!$D108,products!$A$1:$A$49,0),MATCH(orders!K$1,products!$A$1:$G$1,0))</f>
        <v>1</v>
      </c>
      <c r="L108" s="5">
        <f>INDEX(products!$A$1:$G$49,MATCH(orders!$D108,products!$A$1:$A$49,0),MATCH(orders!L$1,products!$A$1:$G$1,0))</f>
        <v>12.15</v>
      </c>
      <c r="M108" s="4">
        <f t="shared" si="3"/>
        <v>24.3</v>
      </c>
      <c r="N108" t="str">
        <f t="shared" si="4"/>
        <v>Excelsa</v>
      </c>
      <c r="O108" t="str">
        <f t="shared" si="5"/>
        <v>Dark</v>
      </c>
      <c r="P108" t="str">
        <f>_xlfn.XLOOKUP(Table1[[#This Row],[Customer ID]],customers!$A$1:$A$1001,customers!$I$1:$I$1001,,0)</f>
        <v>No</v>
      </c>
    </row>
    <row r="109" spans="1:16" x14ac:dyDescent="0.3">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6">
        <f>INDEX(products!$A$1:$G$49,MATCH(orders!$D109,products!$A$1:$A$49,0),MATCH(orders!K$1,products!$A$1:$G$1,0))</f>
        <v>0.5</v>
      </c>
      <c r="L109" s="5">
        <f>INDEX(products!$A$1:$G$49,MATCH(orders!$D109,products!$A$1:$A$49,0),MATCH(orders!L$1,products!$A$1:$G$1,0))</f>
        <v>5.97</v>
      </c>
      <c r="M109" s="4">
        <f t="shared" si="3"/>
        <v>17.91</v>
      </c>
      <c r="N109" t="str">
        <f t="shared" si="4"/>
        <v>Robusta</v>
      </c>
      <c r="O109" t="str">
        <f t="shared" si="5"/>
        <v>Medium</v>
      </c>
      <c r="P109" t="str">
        <f>_xlfn.XLOOKUP(Table1[[#This Row],[Customer ID]],customers!$A$1:$A$1001,customers!$I$1:$I$1001,,0)</f>
        <v>Yes</v>
      </c>
    </row>
    <row r="110" spans="1:16" x14ac:dyDescent="0.3">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6">
        <f>INDEX(products!$A$1:$G$49,MATCH(orders!$D110,products!$A$1:$A$49,0),MATCH(orders!K$1,products!$A$1:$G$1,0))</f>
        <v>0.5</v>
      </c>
      <c r="L110" s="5">
        <f>INDEX(products!$A$1:$G$49,MATCH(orders!$D110,products!$A$1:$A$49,0),MATCH(orders!L$1,products!$A$1:$G$1,0))</f>
        <v>6.75</v>
      </c>
      <c r="M110" s="4">
        <f t="shared" si="3"/>
        <v>27</v>
      </c>
      <c r="N110" t="str">
        <f t="shared" si="4"/>
        <v>Arabica</v>
      </c>
      <c r="O110" t="str">
        <f t="shared" si="5"/>
        <v>Medium</v>
      </c>
      <c r="P110" t="str">
        <f>_xlfn.XLOOKUP(Table1[[#This Row],[Customer ID]],customers!$A$1:$A$1001,customers!$I$1:$I$1001,,0)</f>
        <v>No</v>
      </c>
    </row>
    <row r="111" spans="1:16" x14ac:dyDescent="0.3">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6">
        <f>INDEX(products!$A$1:$G$49,MATCH(orders!$D111,products!$A$1:$A$49,0),MATCH(orders!K$1,products!$A$1:$G$1,0))</f>
        <v>0.5</v>
      </c>
      <c r="L111" s="5">
        <f>INDEX(products!$A$1:$G$49,MATCH(orders!$D111,products!$A$1:$A$49,0),MATCH(orders!L$1,products!$A$1:$G$1,0))</f>
        <v>7.77</v>
      </c>
      <c r="M111" s="4">
        <f t="shared" si="3"/>
        <v>7.77</v>
      </c>
      <c r="N111" t="str">
        <f t="shared" si="4"/>
        <v>Librica</v>
      </c>
      <c r="O111" t="str">
        <f t="shared" si="5"/>
        <v>Dark</v>
      </c>
      <c r="P111" t="str">
        <f>_xlfn.XLOOKUP(Table1[[#This Row],[Customer ID]],customers!$A$1:$A$1001,customers!$I$1:$I$1001,,0)</f>
        <v>Yes</v>
      </c>
    </row>
    <row r="112" spans="1:16" x14ac:dyDescent="0.3">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6">
        <f>INDEX(products!$A$1:$G$49,MATCH(orders!$D112,products!$A$1:$A$49,0),MATCH(orders!K$1,products!$A$1:$G$1,0))</f>
        <v>0.2</v>
      </c>
      <c r="L112" s="5">
        <f>INDEX(products!$A$1:$G$49,MATCH(orders!$D112,products!$A$1:$A$49,0),MATCH(orders!L$1,products!$A$1:$G$1,0))</f>
        <v>4.4550000000000001</v>
      </c>
      <c r="M112" s="4">
        <f t="shared" si="3"/>
        <v>13.365</v>
      </c>
      <c r="N112" t="str">
        <f t="shared" si="4"/>
        <v>Excelsa</v>
      </c>
      <c r="O112" t="str">
        <f t="shared" si="5"/>
        <v>Light</v>
      </c>
      <c r="P112" t="str">
        <f>_xlfn.XLOOKUP(Table1[[#This Row],[Customer ID]],customers!$A$1:$A$1001,customers!$I$1:$I$1001,,0)</f>
        <v>Yes</v>
      </c>
    </row>
    <row r="113" spans="1:16" x14ac:dyDescent="0.3">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6">
        <f>INDEX(products!$A$1:$G$49,MATCH(orders!$D113,products!$A$1:$A$49,0),MATCH(orders!K$1,products!$A$1:$G$1,0))</f>
        <v>0.5</v>
      </c>
      <c r="L113" s="5">
        <f>INDEX(products!$A$1:$G$49,MATCH(orders!$D113,products!$A$1:$A$49,0),MATCH(orders!L$1,products!$A$1:$G$1,0))</f>
        <v>5.3699999999999992</v>
      </c>
      <c r="M113" s="4">
        <f t="shared" si="3"/>
        <v>26.849999999999994</v>
      </c>
      <c r="N113" t="str">
        <f t="shared" si="4"/>
        <v>Robusta</v>
      </c>
      <c r="O113" t="str">
        <f t="shared" si="5"/>
        <v>Dark</v>
      </c>
      <c r="P113" t="str">
        <f>_xlfn.XLOOKUP(Table1[[#This Row],[Customer ID]],customers!$A$1:$A$1001,customers!$I$1:$I$1001,,0)</f>
        <v>No</v>
      </c>
    </row>
    <row r="114" spans="1:16" x14ac:dyDescent="0.3">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6">
        <f>INDEX(products!$A$1:$G$49,MATCH(orders!$D114,products!$A$1:$A$49,0),MATCH(orders!K$1,products!$A$1:$G$1,0))</f>
        <v>1</v>
      </c>
      <c r="L114" s="5">
        <f>INDEX(products!$A$1:$G$49,MATCH(orders!$D114,products!$A$1:$A$49,0),MATCH(orders!L$1,products!$A$1:$G$1,0))</f>
        <v>11.25</v>
      </c>
      <c r="M114" s="4">
        <f t="shared" si="3"/>
        <v>11.25</v>
      </c>
      <c r="N114" t="str">
        <f t="shared" si="4"/>
        <v>Arabica</v>
      </c>
      <c r="O114" t="str">
        <f t="shared" si="5"/>
        <v>Medium</v>
      </c>
      <c r="P114" t="str">
        <f>_xlfn.XLOOKUP(Table1[[#This Row],[Customer ID]],customers!$A$1:$A$1001,customers!$I$1:$I$1001,,0)</f>
        <v>No</v>
      </c>
    </row>
    <row r="115" spans="1:16" x14ac:dyDescent="0.3">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6">
        <f>INDEX(products!$A$1:$G$49,MATCH(orders!$D115,products!$A$1:$A$49,0),MATCH(orders!K$1,products!$A$1:$G$1,0))</f>
        <v>1</v>
      </c>
      <c r="L115" s="5">
        <f>INDEX(products!$A$1:$G$49,MATCH(orders!$D115,products!$A$1:$A$49,0),MATCH(orders!L$1,products!$A$1:$G$1,0))</f>
        <v>14.55</v>
      </c>
      <c r="M115" s="4">
        <f t="shared" si="3"/>
        <v>14.55</v>
      </c>
      <c r="N115" t="str">
        <f t="shared" si="4"/>
        <v>Librica</v>
      </c>
      <c r="O115" t="str">
        <f t="shared" si="5"/>
        <v>Medium</v>
      </c>
      <c r="P115" t="str">
        <f>_xlfn.XLOOKUP(Table1[[#This Row],[Customer ID]],customers!$A$1:$A$1001,customers!$I$1:$I$1001,,0)</f>
        <v>No</v>
      </c>
    </row>
    <row r="116" spans="1:16" x14ac:dyDescent="0.3">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6">
        <f>INDEX(products!$A$1:$G$49,MATCH(orders!$D116,products!$A$1:$A$49,0),MATCH(orders!K$1,products!$A$1:$G$1,0))</f>
        <v>0.2</v>
      </c>
      <c r="L116" s="5">
        <f>INDEX(products!$A$1:$G$49,MATCH(orders!$D116,products!$A$1:$A$49,0),MATCH(orders!L$1,products!$A$1:$G$1,0))</f>
        <v>3.5849999999999995</v>
      </c>
      <c r="M116" s="4">
        <f t="shared" si="3"/>
        <v>14.339999999999998</v>
      </c>
      <c r="N116" t="str">
        <f t="shared" si="4"/>
        <v>Robusta</v>
      </c>
      <c r="O116" t="str">
        <f t="shared" si="5"/>
        <v>Light</v>
      </c>
      <c r="P116" t="str">
        <f>_xlfn.XLOOKUP(Table1[[#This Row],[Customer ID]],customers!$A$1:$A$1001,customers!$I$1:$I$1001,,0)</f>
        <v>No</v>
      </c>
    </row>
    <row r="117" spans="1:16" x14ac:dyDescent="0.3">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6">
        <f>INDEX(products!$A$1:$G$49,MATCH(orders!$D117,products!$A$1:$A$49,0),MATCH(orders!K$1,products!$A$1:$G$1,0))</f>
        <v>1</v>
      </c>
      <c r="L117" s="5">
        <f>INDEX(products!$A$1:$G$49,MATCH(orders!$D117,products!$A$1:$A$49,0),MATCH(orders!L$1,products!$A$1:$G$1,0))</f>
        <v>15.85</v>
      </c>
      <c r="M117" s="4">
        <f t="shared" si="3"/>
        <v>15.85</v>
      </c>
      <c r="N117" t="str">
        <f t="shared" si="4"/>
        <v>Librica</v>
      </c>
      <c r="O117" t="str">
        <f t="shared" si="5"/>
        <v>Light</v>
      </c>
      <c r="P117" t="str">
        <f>_xlfn.XLOOKUP(Table1[[#This Row],[Customer ID]],customers!$A$1:$A$1001,customers!$I$1:$I$1001,,0)</f>
        <v>No</v>
      </c>
    </row>
    <row r="118" spans="1:16" x14ac:dyDescent="0.3">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6">
        <f>INDEX(products!$A$1:$G$49,MATCH(orders!$D118,products!$A$1:$A$49,0),MATCH(orders!K$1,products!$A$1:$G$1,0))</f>
        <v>0.2</v>
      </c>
      <c r="L118" s="5">
        <f>INDEX(products!$A$1:$G$49,MATCH(orders!$D118,products!$A$1:$A$49,0),MATCH(orders!L$1,products!$A$1:$G$1,0))</f>
        <v>4.7549999999999999</v>
      </c>
      <c r="M118" s="4">
        <f t="shared" si="3"/>
        <v>19.02</v>
      </c>
      <c r="N118" t="str">
        <f t="shared" si="4"/>
        <v>Librica</v>
      </c>
      <c r="O118" t="str">
        <f t="shared" si="5"/>
        <v>Light</v>
      </c>
      <c r="P118" t="str">
        <f>_xlfn.XLOOKUP(Table1[[#This Row],[Customer ID]],customers!$A$1:$A$1001,customers!$I$1:$I$1001,,0)</f>
        <v>Yes</v>
      </c>
    </row>
    <row r="119" spans="1:16" x14ac:dyDescent="0.3">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6">
        <f>INDEX(products!$A$1:$G$49,MATCH(orders!$D119,products!$A$1:$A$49,0),MATCH(orders!K$1,products!$A$1:$G$1,0))</f>
        <v>0.5</v>
      </c>
      <c r="L119" s="5">
        <f>INDEX(products!$A$1:$G$49,MATCH(orders!$D119,products!$A$1:$A$49,0),MATCH(orders!L$1,products!$A$1:$G$1,0))</f>
        <v>9.51</v>
      </c>
      <c r="M119" s="4">
        <f t="shared" si="3"/>
        <v>38.04</v>
      </c>
      <c r="N119" t="str">
        <f t="shared" si="4"/>
        <v>Librica</v>
      </c>
      <c r="O119" t="str">
        <f t="shared" si="5"/>
        <v>Light</v>
      </c>
      <c r="P119" t="str">
        <f>_xlfn.XLOOKUP(Table1[[#This Row],[Customer ID]],customers!$A$1:$A$1001,customers!$I$1:$I$1001,,0)</f>
        <v>No</v>
      </c>
    </row>
    <row r="120" spans="1:16" x14ac:dyDescent="0.3">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6">
        <f>INDEX(products!$A$1:$G$49,MATCH(orders!$D120,products!$A$1:$A$49,0),MATCH(orders!K$1,products!$A$1:$G$1,0))</f>
        <v>0.5</v>
      </c>
      <c r="L120" s="5">
        <f>INDEX(products!$A$1:$G$49,MATCH(orders!$D120,products!$A$1:$A$49,0),MATCH(orders!L$1,products!$A$1:$G$1,0))</f>
        <v>7.29</v>
      </c>
      <c r="M120" s="4">
        <f t="shared" si="3"/>
        <v>21.87</v>
      </c>
      <c r="N120" t="str">
        <f t="shared" si="4"/>
        <v>Excelsa</v>
      </c>
      <c r="O120" t="str">
        <f t="shared" si="5"/>
        <v>Dark</v>
      </c>
      <c r="P120" t="str">
        <f>_xlfn.XLOOKUP(Table1[[#This Row],[Customer ID]],customers!$A$1:$A$1001,customers!$I$1:$I$1001,,0)</f>
        <v>Yes</v>
      </c>
    </row>
    <row r="121" spans="1:16" x14ac:dyDescent="0.3">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6">
        <f>INDEX(products!$A$1:$G$49,MATCH(orders!$D121,products!$A$1:$A$49,0),MATCH(orders!K$1,products!$A$1:$G$1,0))</f>
        <v>0.2</v>
      </c>
      <c r="L121" s="5">
        <f>INDEX(products!$A$1:$G$49,MATCH(orders!$D121,products!$A$1:$A$49,0),MATCH(orders!L$1,products!$A$1:$G$1,0))</f>
        <v>4.125</v>
      </c>
      <c r="M121" s="4">
        <f t="shared" si="3"/>
        <v>4.125</v>
      </c>
      <c r="N121" t="str">
        <f t="shared" si="4"/>
        <v>Excelsa</v>
      </c>
      <c r="O121" t="str">
        <f t="shared" si="5"/>
        <v>Medium</v>
      </c>
      <c r="P121" t="str">
        <f>_xlfn.XLOOKUP(Table1[[#This Row],[Customer ID]],customers!$A$1:$A$1001,customers!$I$1:$I$1001,,0)</f>
        <v>No</v>
      </c>
    </row>
    <row r="122" spans="1:16" x14ac:dyDescent="0.3">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6">
        <f>INDEX(products!$A$1:$G$49,MATCH(orders!$D122,products!$A$1:$A$49,0),MATCH(orders!K$1,products!$A$1:$G$1,0))</f>
        <v>0.2</v>
      </c>
      <c r="L122" s="5">
        <f>INDEX(products!$A$1:$G$49,MATCH(orders!$D122,products!$A$1:$A$49,0),MATCH(orders!L$1,products!$A$1:$G$1,0))</f>
        <v>3.8849999999999998</v>
      </c>
      <c r="M122" s="4">
        <f t="shared" si="3"/>
        <v>3.8849999999999998</v>
      </c>
      <c r="N122" t="str">
        <f t="shared" si="4"/>
        <v>Arabica</v>
      </c>
      <c r="O122" t="str">
        <f t="shared" si="5"/>
        <v>Light</v>
      </c>
      <c r="P122" t="str">
        <f>_xlfn.XLOOKUP(Table1[[#This Row],[Customer ID]],customers!$A$1:$A$1001,customers!$I$1:$I$1001,,0)</f>
        <v>No</v>
      </c>
    </row>
    <row r="123" spans="1:16" x14ac:dyDescent="0.3">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6">
        <f>INDEX(products!$A$1:$G$49,MATCH(orders!$D123,products!$A$1:$A$49,0),MATCH(orders!K$1,products!$A$1:$G$1,0))</f>
        <v>1</v>
      </c>
      <c r="L123" s="5">
        <f>INDEX(products!$A$1:$G$49,MATCH(orders!$D123,products!$A$1:$A$49,0),MATCH(orders!L$1,products!$A$1:$G$1,0))</f>
        <v>13.75</v>
      </c>
      <c r="M123" s="4">
        <f t="shared" si="3"/>
        <v>68.75</v>
      </c>
      <c r="N123" t="str">
        <f t="shared" si="4"/>
        <v>Excelsa</v>
      </c>
      <c r="O123" t="str">
        <f t="shared" si="5"/>
        <v>Medium</v>
      </c>
      <c r="P123" t="str">
        <f>_xlfn.XLOOKUP(Table1[[#This Row],[Customer ID]],customers!$A$1:$A$1001,customers!$I$1:$I$1001,,0)</f>
        <v>No</v>
      </c>
    </row>
    <row r="124" spans="1:16" x14ac:dyDescent="0.3">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6">
        <f>INDEX(products!$A$1:$G$49,MATCH(orders!$D124,products!$A$1:$A$49,0),MATCH(orders!K$1,products!$A$1:$G$1,0))</f>
        <v>0.5</v>
      </c>
      <c r="L124" s="5">
        <f>INDEX(products!$A$1:$G$49,MATCH(orders!$D124,products!$A$1:$A$49,0),MATCH(orders!L$1,products!$A$1:$G$1,0))</f>
        <v>5.97</v>
      </c>
      <c r="M124" s="4">
        <f t="shared" si="3"/>
        <v>23.88</v>
      </c>
      <c r="N124" t="str">
        <f t="shared" si="4"/>
        <v>Arabica</v>
      </c>
      <c r="O124" t="str">
        <f t="shared" si="5"/>
        <v>Dark</v>
      </c>
      <c r="P124" t="str">
        <f>_xlfn.XLOOKUP(Table1[[#This Row],[Customer ID]],customers!$A$1:$A$1001,customers!$I$1:$I$1001,,0)</f>
        <v>Yes</v>
      </c>
    </row>
    <row r="125" spans="1:16" x14ac:dyDescent="0.3">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6">
        <f>INDEX(products!$A$1:$G$49,MATCH(orders!$D125,products!$A$1:$A$49,0),MATCH(orders!K$1,products!$A$1:$G$1,0))</f>
        <v>2.5</v>
      </c>
      <c r="L125" s="5">
        <f>INDEX(products!$A$1:$G$49,MATCH(orders!$D125,products!$A$1:$A$49,0),MATCH(orders!L$1,products!$A$1:$G$1,0))</f>
        <v>36.454999999999998</v>
      </c>
      <c r="M125" s="4">
        <f t="shared" si="3"/>
        <v>145.82</v>
      </c>
      <c r="N125" t="str">
        <f t="shared" si="4"/>
        <v>Librica</v>
      </c>
      <c r="O125" t="str">
        <f t="shared" si="5"/>
        <v>Light</v>
      </c>
      <c r="P125" t="str">
        <f>_xlfn.XLOOKUP(Table1[[#This Row],[Customer ID]],customers!$A$1:$A$1001,customers!$I$1:$I$1001,,0)</f>
        <v>No</v>
      </c>
    </row>
    <row r="126" spans="1:16" x14ac:dyDescent="0.3">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6">
        <f>INDEX(products!$A$1:$G$49,MATCH(orders!$D126,products!$A$1:$A$49,0),MATCH(orders!K$1,products!$A$1:$G$1,0))</f>
        <v>0.2</v>
      </c>
      <c r="L126" s="5">
        <f>INDEX(products!$A$1:$G$49,MATCH(orders!$D126,products!$A$1:$A$49,0),MATCH(orders!L$1,products!$A$1:$G$1,0))</f>
        <v>4.3650000000000002</v>
      </c>
      <c r="M126" s="4">
        <f t="shared" si="3"/>
        <v>21.825000000000003</v>
      </c>
      <c r="N126" t="str">
        <f t="shared" si="4"/>
        <v>Librica</v>
      </c>
      <c r="O126" t="str">
        <f t="shared" si="5"/>
        <v>Medium</v>
      </c>
      <c r="P126" t="str">
        <f>_xlfn.XLOOKUP(Table1[[#This Row],[Customer ID]],customers!$A$1:$A$1001,customers!$I$1:$I$1001,,0)</f>
        <v>Yes</v>
      </c>
    </row>
    <row r="127" spans="1:16" x14ac:dyDescent="0.3">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6">
        <f>INDEX(products!$A$1:$G$49,MATCH(orders!$D127,products!$A$1:$A$49,0),MATCH(orders!K$1,products!$A$1:$G$1,0))</f>
        <v>0.5</v>
      </c>
      <c r="L127" s="5">
        <f>INDEX(products!$A$1:$G$49,MATCH(orders!$D127,products!$A$1:$A$49,0),MATCH(orders!L$1,products!$A$1:$G$1,0))</f>
        <v>8.73</v>
      </c>
      <c r="M127" s="4">
        <f t="shared" si="3"/>
        <v>26.19</v>
      </c>
      <c r="N127" t="str">
        <f t="shared" si="4"/>
        <v>Librica</v>
      </c>
      <c r="O127" t="str">
        <f t="shared" si="5"/>
        <v>Medium</v>
      </c>
      <c r="P127" t="str">
        <f>_xlfn.XLOOKUP(Table1[[#This Row],[Customer ID]],customers!$A$1:$A$1001,customers!$I$1:$I$1001,,0)</f>
        <v>Yes</v>
      </c>
    </row>
    <row r="128" spans="1:16" x14ac:dyDescent="0.3">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6">
        <f>INDEX(products!$A$1:$G$49,MATCH(orders!$D128,products!$A$1:$A$49,0),MATCH(orders!K$1,products!$A$1:$G$1,0))</f>
        <v>1</v>
      </c>
      <c r="L128" s="5">
        <f>INDEX(products!$A$1:$G$49,MATCH(orders!$D128,products!$A$1:$A$49,0),MATCH(orders!L$1,products!$A$1:$G$1,0))</f>
        <v>11.25</v>
      </c>
      <c r="M128" s="4">
        <f t="shared" si="3"/>
        <v>11.25</v>
      </c>
      <c r="N128" t="str">
        <f t="shared" si="4"/>
        <v>Arabica</v>
      </c>
      <c r="O128" t="str">
        <f t="shared" si="5"/>
        <v>Medium</v>
      </c>
      <c r="P128" t="str">
        <f>_xlfn.XLOOKUP(Table1[[#This Row],[Customer ID]],customers!$A$1:$A$1001,customers!$I$1:$I$1001,,0)</f>
        <v>No</v>
      </c>
    </row>
    <row r="129" spans="1:16" x14ac:dyDescent="0.3">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6">
        <f>INDEX(products!$A$1:$G$49,MATCH(orders!$D129,products!$A$1:$A$49,0),MATCH(orders!K$1,products!$A$1:$G$1,0))</f>
        <v>1</v>
      </c>
      <c r="L129" s="5">
        <f>INDEX(products!$A$1:$G$49,MATCH(orders!$D129,products!$A$1:$A$49,0),MATCH(orders!L$1,products!$A$1:$G$1,0))</f>
        <v>12.95</v>
      </c>
      <c r="M129" s="4">
        <f t="shared" si="3"/>
        <v>77.699999999999989</v>
      </c>
      <c r="N129" t="str">
        <f t="shared" si="4"/>
        <v>Librica</v>
      </c>
      <c r="O129" t="str">
        <f t="shared" si="5"/>
        <v>Dark</v>
      </c>
      <c r="P129" t="str">
        <f>_xlfn.XLOOKUP(Table1[[#This Row],[Customer ID]],customers!$A$1:$A$1001,customers!$I$1:$I$1001,,0)</f>
        <v>No</v>
      </c>
    </row>
    <row r="130" spans="1:16" x14ac:dyDescent="0.3">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6">
        <f>INDEX(products!$A$1:$G$49,MATCH(orders!$D130,products!$A$1:$A$49,0),MATCH(orders!K$1,products!$A$1:$G$1,0))</f>
        <v>0.5</v>
      </c>
      <c r="L130" s="5">
        <f>INDEX(products!$A$1:$G$49,MATCH(orders!$D130,products!$A$1:$A$49,0),MATCH(orders!L$1,products!$A$1:$G$1,0))</f>
        <v>6.75</v>
      </c>
      <c r="M130" s="4">
        <f t="shared" si="3"/>
        <v>6.75</v>
      </c>
      <c r="N130" t="str">
        <f t="shared" si="4"/>
        <v>Arabica</v>
      </c>
      <c r="O130" t="str">
        <f t="shared" si="5"/>
        <v>Medium</v>
      </c>
      <c r="P130" t="str">
        <f>_xlfn.XLOOKUP(Table1[[#This Row],[Customer ID]],customers!$A$1:$A$1001,customers!$I$1:$I$1001,,0)</f>
        <v>No</v>
      </c>
    </row>
    <row r="131" spans="1:16" x14ac:dyDescent="0.3">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6">
        <f>INDEX(products!$A$1:$G$49,MATCH(orders!$D131,products!$A$1:$A$49,0),MATCH(orders!K$1,products!$A$1:$G$1,0))</f>
        <v>1</v>
      </c>
      <c r="L131" s="5">
        <f>INDEX(products!$A$1:$G$49,MATCH(orders!$D131,products!$A$1:$A$49,0),MATCH(orders!L$1,products!$A$1:$G$1,0))</f>
        <v>12.15</v>
      </c>
      <c r="M131" s="4">
        <f t="shared" ref="M131:M194" si="6">L131*E131</f>
        <v>12.15</v>
      </c>
      <c r="N131" t="str">
        <f t="shared" ref="N131:N194" si="7">IF(I131="Rob","Robusta",IF(I131="Exc","Excelsa",IF(I131="Ara","Arabica",IF(I131="Lib","Librica",""))))</f>
        <v>Excelsa</v>
      </c>
      <c r="O131" t="str">
        <f t="shared" ref="O131:O194" si="8">IF(J131="M","Medium",IF(J131="L","Light",IF(J131="D","Dark","")))</f>
        <v>Dark</v>
      </c>
      <c r="P131" t="str">
        <f>_xlfn.XLOOKUP(Table1[[#This Row],[Customer ID]],customers!$A$1:$A$1001,customers!$I$1:$I$1001,,0)</f>
        <v>Yes</v>
      </c>
    </row>
    <row r="132" spans="1:16" x14ac:dyDescent="0.3">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6">
        <f>INDEX(products!$A$1:$G$49,MATCH(orders!$D132,products!$A$1:$A$49,0),MATCH(orders!K$1,products!$A$1:$G$1,0))</f>
        <v>2.5</v>
      </c>
      <c r="L132" s="5">
        <f>INDEX(products!$A$1:$G$49,MATCH(orders!$D132,products!$A$1:$A$49,0),MATCH(orders!L$1,products!$A$1:$G$1,0))</f>
        <v>29.784999999999997</v>
      </c>
      <c r="M132" s="4">
        <f t="shared" si="6"/>
        <v>148.92499999999998</v>
      </c>
      <c r="N132" t="str">
        <f t="shared" si="7"/>
        <v>Arabica</v>
      </c>
      <c r="O132" t="str">
        <f t="shared" si="8"/>
        <v>Light</v>
      </c>
      <c r="P132" t="str">
        <f>_xlfn.XLOOKUP(Table1[[#This Row],[Customer ID]],customers!$A$1:$A$1001,customers!$I$1:$I$1001,,0)</f>
        <v>Yes</v>
      </c>
    </row>
    <row r="133" spans="1:16" x14ac:dyDescent="0.3">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6">
        <f>INDEX(products!$A$1:$G$49,MATCH(orders!$D133,products!$A$1:$A$49,0),MATCH(orders!K$1,products!$A$1:$G$1,0))</f>
        <v>0.5</v>
      </c>
      <c r="L133" s="5">
        <f>INDEX(products!$A$1:$G$49,MATCH(orders!$D133,products!$A$1:$A$49,0),MATCH(orders!L$1,products!$A$1:$G$1,0))</f>
        <v>7.29</v>
      </c>
      <c r="M133" s="4">
        <f t="shared" si="6"/>
        <v>14.58</v>
      </c>
      <c r="N133" t="str">
        <f t="shared" si="7"/>
        <v>Excelsa</v>
      </c>
      <c r="O133" t="str">
        <f t="shared" si="8"/>
        <v>Dark</v>
      </c>
      <c r="P133" t="str">
        <f>_xlfn.XLOOKUP(Table1[[#This Row],[Customer ID]],customers!$A$1:$A$1001,customers!$I$1:$I$1001,,0)</f>
        <v>Yes</v>
      </c>
    </row>
    <row r="134" spans="1:16" x14ac:dyDescent="0.3">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6">
        <f>INDEX(products!$A$1:$G$49,MATCH(orders!$D134,products!$A$1:$A$49,0),MATCH(orders!K$1,products!$A$1:$G$1,0))</f>
        <v>2.5</v>
      </c>
      <c r="L134" s="5">
        <f>INDEX(products!$A$1:$G$49,MATCH(orders!$D134,products!$A$1:$A$49,0),MATCH(orders!L$1,products!$A$1:$G$1,0))</f>
        <v>29.784999999999997</v>
      </c>
      <c r="M134" s="4">
        <f t="shared" si="6"/>
        <v>148.92499999999998</v>
      </c>
      <c r="N134" t="str">
        <f t="shared" si="7"/>
        <v>Arabica</v>
      </c>
      <c r="O134" t="str">
        <f t="shared" si="8"/>
        <v>Light</v>
      </c>
      <c r="P134" t="str">
        <f>_xlfn.XLOOKUP(Table1[[#This Row],[Customer ID]],customers!$A$1:$A$1001,customers!$I$1:$I$1001,,0)</f>
        <v>Yes</v>
      </c>
    </row>
    <row r="135" spans="1:16" x14ac:dyDescent="0.3">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6">
        <f>INDEX(products!$A$1:$G$49,MATCH(orders!$D135,products!$A$1:$A$49,0),MATCH(orders!K$1,products!$A$1:$G$1,0))</f>
        <v>1</v>
      </c>
      <c r="L135" s="5">
        <f>INDEX(products!$A$1:$G$49,MATCH(orders!$D135,products!$A$1:$A$49,0),MATCH(orders!L$1,products!$A$1:$G$1,0))</f>
        <v>12.95</v>
      </c>
      <c r="M135" s="4">
        <f t="shared" si="6"/>
        <v>12.95</v>
      </c>
      <c r="N135" t="str">
        <f t="shared" si="7"/>
        <v>Librica</v>
      </c>
      <c r="O135" t="str">
        <f t="shared" si="8"/>
        <v>Dark</v>
      </c>
      <c r="P135" t="str">
        <f>_xlfn.XLOOKUP(Table1[[#This Row],[Customer ID]],customers!$A$1:$A$1001,customers!$I$1:$I$1001,,0)</f>
        <v>No</v>
      </c>
    </row>
    <row r="136" spans="1:16" x14ac:dyDescent="0.3">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6">
        <f>INDEX(products!$A$1:$G$49,MATCH(orders!$D136,products!$A$1:$A$49,0),MATCH(orders!K$1,products!$A$1:$G$1,0))</f>
        <v>2.5</v>
      </c>
      <c r="L136" s="5">
        <f>INDEX(products!$A$1:$G$49,MATCH(orders!$D136,products!$A$1:$A$49,0),MATCH(orders!L$1,products!$A$1:$G$1,0))</f>
        <v>31.624999999999996</v>
      </c>
      <c r="M136" s="4">
        <f t="shared" si="6"/>
        <v>94.874999999999986</v>
      </c>
      <c r="N136" t="str">
        <f t="shared" si="7"/>
        <v>Excelsa</v>
      </c>
      <c r="O136" t="str">
        <f t="shared" si="8"/>
        <v>Medium</v>
      </c>
      <c r="P136" t="str">
        <f>_xlfn.XLOOKUP(Table1[[#This Row],[Customer ID]],customers!$A$1:$A$1001,customers!$I$1:$I$1001,,0)</f>
        <v>Yes</v>
      </c>
    </row>
    <row r="137" spans="1:16" x14ac:dyDescent="0.3">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6">
        <f>INDEX(products!$A$1:$G$49,MATCH(orders!$D137,products!$A$1:$A$49,0),MATCH(orders!K$1,products!$A$1:$G$1,0))</f>
        <v>0.5</v>
      </c>
      <c r="L137" s="5">
        <f>INDEX(products!$A$1:$G$49,MATCH(orders!$D137,products!$A$1:$A$49,0),MATCH(orders!L$1,products!$A$1:$G$1,0))</f>
        <v>7.77</v>
      </c>
      <c r="M137" s="4">
        <f t="shared" si="6"/>
        <v>38.849999999999994</v>
      </c>
      <c r="N137" t="str">
        <f t="shared" si="7"/>
        <v>Arabica</v>
      </c>
      <c r="O137" t="str">
        <f t="shared" si="8"/>
        <v>Light</v>
      </c>
      <c r="P137" t="str">
        <f>_xlfn.XLOOKUP(Table1[[#This Row],[Customer ID]],customers!$A$1:$A$1001,customers!$I$1:$I$1001,,0)</f>
        <v>Yes</v>
      </c>
    </row>
    <row r="138" spans="1:16" x14ac:dyDescent="0.3">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6">
        <f>INDEX(products!$A$1:$G$49,MATCH(orders!$D138,products!$A$1:$A$49,0),MATCH(orders!K$1,products!$A$1:$G$1,0))</f>
        <v>0.2</v>
      </c>
      <c r="L138" s="5">
        <f>INDEX(products!$A$1:$G$49,MATCH(orders!$D138,products!$A$1:$A$49,0),MATCH(orders!L$1,products!$A$1:$G$1,0))</f>
        <v>2.9849999999999999</v>
      </c>
      <c r="M138" s="4">
        <f t="shared" si="6"/>
        <v>11.94</v>
      </c>
      <c r="N138" t="str">
        <f t="shared" si="7"/>
        <v>Arabica</v>
      </c>
      <c r="O138" t="str">
        <f t="shared" si="8"/>
        <v>Dark</v>
      </c>
      <c r="P138" t="str">
        <f>_xlfn.XLOOKUP(Table1[[#This Row],[Customer ID]],customers!$A$1:$A$1001,customers!$I$1:$I$1001,,0)</f>
        <v>No</v>
      </c>
    </row>
    <row r="139" spans="1:16" x14ac:dyDescent="0.3">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6">
        <f>INDEX(products!$A$1:$G$49,MATCH(orders!$D139,products!$A$1:$A$49,0),MATCH(orders!K$1,products!$A$1:$G$1,0))</f>
        <v>2.5</v>
      </c>
      <c r="L139" s="5">
        <f>INDEX(products!$A$1:$G$49,MATCH(orders!$D139,products!$A$1:$A$49,0),MATCH(orders!L$1,products!$A$1:$G$1,0))</f>
        <v>34.154999999999994</v>
      </c>
      <c r="M139" s="4">
        <f t="shared" si="6"/>
        <v>102.46499999999997</v>
      </c>
      <c r="N139" t="str">
        <f t="shared" si="7"/>
        <v>Excelsa</v>
      </c>
      <c r="O139" t="str">
        <f t="shared" si="8"/>
        <v>Light</v>
      </c>
      <c r="P139" t="str">
        <f>_xlfn.XLOOKUP(Table1[[#This Row],[Customer ID]],customers!$A$1:$A$1001,customers!$I$1:$I$1001,,0)</f>
        <v>No</v>
      </c>
    </row>
    <row r="140" spans="1:16" x14ac:dyDescent="0.3">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6">
        <f>INDEX(products!$A$1:$G$49,MATCH(orders!$D140,products!$A$1:$A$49,0),MATCH(orders!K$1,products!$A$1:$G$1,0))</f>
        <v>1</v>
      </c>
      <c r="L140" s="5">
        <f>INDEX(products!$A$1:$G$49,MATCH(orders!$D140,products!$A$1:$A$49,0),MATCH(orders!L$1,products!$A$1:$G$1,0))</f>
        <v>12.15</v>
      </c>
      <c r="M140" s="4">
        <f t="shared" si="6"/>
        <v>48.6</v>
      </c>
      <c r="N140" t="str">
        <f t="shared" si="7"/>
        <v>Excelsa</v>
      </c>
      <c r="O140" t="str">
        <f t="shared" si="8"/>
        <v>Dark</v>
      </c>
      <c r="P140" t="str">
        <f>_xlfn.XLOOKUP(Table1[[#This Row],[Customer ID]],customers!$A$1:$A$1001,customers!$I$1:$I$1001,,0)</f>
        <v>No</v>
      </c>
    </row>
    <row r="141" spans="1:16" x14ac:dyDescent="0.3">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6">
        <f>INDEX(products!$A$1:$G$49,MATCH(orders!$D141,products!$A$1:$A$49,0),MATCH(orders!K$1,products!$A$1:$G$1,0))</f>
        <v>1</v>
      </c>
      <c r="L141" s="5">
        <f>INDEX(products!$A$1:$G$49,MATCH(orders!$D141,products!$A$1:$A$49,0),MATCH(orders!L$1,products!$A$1:$G$1,0))</f>
        <v>12.95</v>
      </c>
      <c r="M141" s="4">
        <f t="shared" si="6"/>
        <v>77.699999999999989</v>
      </c>
      <c r="N141" t="str">
        <f t="shared" si="7"/>
        <v>Librica</v>
      </c>
      <c r="O141" t="str">
        <f t="shared" si="8"/>
        <v>Dark</v>
      </c>
      <c r="P141" t="str">
        <f>_xlfn.XLOOKUP(Table1[[#This Row],[Customer ID]],customers!$A$1:$A$1001,customers!$I$1:$I$1001,,0)</f>
        <v>Yes</v>
      </c>
    </row>
    <row r="142" spans="1:16" x14ac:dyDescent="0.3">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6">
        <f>INDEX(products!$A$1:$G$49,MATCH(orders!$D142,products!$A$1:$A$49,0),MATCH(orders!K$1,products!$A$1:$G$1,0))</f>
        <v>2.5</v>
      </c>
      <c r="L142" s="5">
        <f>INDEX(products!$A$1:$G$49,MATCH(orders!$D142,products!$A$1:$A$49,0),MATCH(orders!L$1,products!$A$1:$G$1,0))</f>
        <v>29.784999999999997</v>
      </c>
      <c r="M142" s="4">
        <f t="shared" si="6"/>
        <v>29.784999999999997</v>
      </c>
      <c r="N142" t="str">
        <f t="shared" si="7"/>
        <v>Librica</v>
      </c>
      <c r="O142" t="str">
        <f t="shared" si="8"/>
        <v>Dark</v>
      </c>
      <c r="P142" t="str">
        <f>_xlfn.XLOOKUP(Table1[[#This Row],[Customer ID]],customers!$A$1:$A$1001,customers!$I$1:$I$1001,,0)</f>
        <v>Yes</v>
      </c>
    </row>
    <row r="143" spans="1:16" x14ac:dyDescent="0.3">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6">
        <f>INDEX(products!$A$1:$G$49,MATCH(orders!$D143,products!$A$1:$A$49,0),MATCH(orders!K$1,products!$A$1:$G$1,0))</f>
        <v>0.2</v>
      </c>
      <c r="L143" s="5">
        <f>INDEX(products!$A$1:$G$49,MATCH(orders!$D143,products!$A$1:$A$49,0),MATCH(orders!L$1,products!$A$1:$G$1,0))</f>
        <v>3.8849999999999998</v>
      </c>
      <c r="M143" s="4">
        <f t="shared" si="6"/>
        <v>15.54</v>
      </c>
      <c r="N143" t="str">
        <f t="shared" si="7"/>
        <v>Arabica</v>
      </c>
      <c r="O143" t="str">
        <f t="shared" si="8"/>
        <v>Light</v>
      </c>
      <c r="P143" t="str">
        <f>_xlfn.XLOOKUP(Table1[[#This Row],[Customer ID]],customers!$A$1:$A$1001,customers!$I$1:$I$1001,,0)</f>
        <v>Yes</v>
      </c>
    </row>
    <row r="144" spans="1:16" x14ac:dyDescent="0.3">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6">
        <f>INDEX(products!$A$1:$G$49,MATCH(orders!$D144,products!$A$1:$A$49,0),MATCH(orders!K$1,products!$A$1:$G$1,0))</f>
        <v>2.5</v>
      </c>
      <c r="L144" s="5">
        <f>INDEX(products!$A$1:$G$49,MATCH(orders!$D144,products!$A$1:$A$49,0),MATCH(orders!L$1,products!$A$1:$G$1,0))</f>
        <v>34.154999999999994</v>
      </c>
      <c r="M144" s="4">
        <f t="shared" si="6"/>
        <v>136.61999999999998</v>
      </c>
      <c r="N144" t="str">
        <f t="shared" si="7"/>
        <v>Excelsa</v>
      </c>
      <c r="O144" t="str">
        <f t="shared" si="8"/>
        <v>Light</v>
      </c>
      <c r="P144" t="str">
        <f>_xlfn.XLOOKUP(Table1[[#This Row],[Customer ID]],customers!$A$1:$A$1001,customers!$I$1:$I$1001,,0)</f>
        <v>Yes</v>
      </c>
    </row>
    <row r="145" spans="1:16" x14ac:dyDescent="0.3">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6">
        <f>INDEX(products!$A$1:$G$49,MATCH(orders!$D145,products!$A$1:$A$49,0),MATCH(orders!K$1,products!$A$1:$G$1,0))</f>
        <v>0.5</v>
      </c>
      <c r="L145" s="5">
        <f>INDEX(products!$A$1:$G$49,MATCH(orders!$D145,products!$A$1:$A$49,0),MATCH(orders!L$1,products!$A$1:$G$1,0))</f>
        <v>8.73</v>
      </c>
      <c r="M145" s="4">
        <f t="shared" si="6"/>
        <v>17.46</v>
      </c>
      <c r="N145" t="str">
        <f t="shared" si="7"/>
        <v>Librica</v>
      </c>
      <c r="O145" t="str">
        <f t="shared" si="8"/>
        <v>Medium</v>
      </c>
      <c r="P145" t="str">
        <f>_xlfn.XLOOKUP(Table1[[#This Row],[Customer ID]],customers!$A$1:$A$1001,customers!$I$1:$I$1001,,0)</f>
        <v>No</v>
      </c>
    </row>
    <row r="146" spans="1:16" x14ac:dyDescent="0.3">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6">
        <f>INDEX(products!$A$1:$G$49,MATCH(orders!$D146,products!$A$1:$A$49,0),MATCH(orders!K$1,products!$A$1:$G$1,0))</f>
        <v>2.5</v>
      </c>
      <c r="L146" s="5">
        <f>INDEX(products!$A$1:$G$49,MATCH(orders!$D146,products!$A$1:$A$49,0),MATCH(orders!L$1,products!$A$1:$G$1,0))</f>
        <v>34.154999999999994</v>
      </c>
      <c r="M146" s="4">
        <f t="shared" si="6"/>
        <v>68.309999999999988</v>
      </c>
      <c r="N146" t="str">
        <f t="shared" si="7"/>
        <v>Excelsa</v>
      </c>
      <c r="O146" t="str">
        <f t="shared" si="8"/>
        <v>Light</v>
      </c>
      <c r="P146" t="str">
        <f>_xlfn.XLOOKUP(Table1[[#This Row],[Customer ID]],customers!$A$1:$A$1001,customers!$I$1:$I$1001,,0)</f>
        <v>Yes</v>
      </c>
    </row>
    <row r="147" spans="1:16" x14ac:dyDescent="0.3">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6">
        <f>INDEX(products!$A$1:$G$49,MATCH(orders!$D147,products!$A$1:$A$49,0),MATCH(orders!K$1,products!$A$1:$G$1,0))</f>
        <v>0.2</v>
      </c>
      <c r="L147" s="5">
        <f>INDEX(products!$A$1:$G$49,MATCH(orders!$D147,products!$A$1:$A$49,0),MATCH(orders!L$1,products!$A$1:$G$1,0))</f>
        <v>4.3650000000000002</v>
      </c>
      <c r="M147" s="4">
        <f t="shared" si="6"/>
        <v>17.46</v>
      </c>
      <c r="N147" t="str">
        <f t="shared" si="7"/>
        <v>Librica</v>
      </c>
      <c r="O147" t="str">
        <f t="shared" si="8"/>
        <v>Medium</v>
      </c>
      <c r="P147" t="str">
        <f>_xlfn.XLOOKUP(Table1[[#This Row],[Customer ID]],customers!$A$1:$A$1001,customers!$I$1:$I$1001,,0)</f>
        <v>No</v>
      </c>
    </row>
    <row r="148" spans="1:16" x14ac:dyDescent="0.3">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6">
        <f>INDEX(products!$A$1:$G$49,MATCH(orders!$D148,products!$A$1:$A$49,0),MATCH(orders!K$1,products!$A$1:$G$1,0))</f>
        <v>1</v>
      </c>
      <c r="L148" s="5">
        <f>INDEX(products!$A$1:$G$49,MATCH(orders!$D148,products!$A$1:$A$49,0),MATCH(orders!L$1,products!$A$1:$G$1,0))</f>
        <v>14.55</v>
      </c>
      <c r="M148" s="4">
        <f t="shared" si="6"/>
        <v>43.650000000000006</v>
      </c>
      <c r="N148" t="str">
        <f t="shared" si="7"/>
        <v>Librica</v>
      </c>
      <c r="O148" t="str">
        <f t="shared" si="8"/>
        <v>Medium</v>
      </c>
      <c r="P148" t="str">
        <f>_xlfn.XLOOKUP(Table1[[#This Row],[Customer ID]],customers!$A$1:$A$1001,customers!$I$1:$I$1001,,0)</f>
        <v>No</v>
      </c>
    </row>
    <row r="149" spans="1:16" x14ac:dyDescent="0.3">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6">
        <f>INDEX(products!$A$1:$G$49,MATCH(orders!$D149,products!$A$1:$A$49,0),MATCH(orders!K$1,products!$A$1:$G$1,0))</f>
        <v>1</v>
      </c>
      <c r="L149" s="5">
        <f>INDEX(products!$A$1:$G$49,MATCH(orders!$D149,products!$A$1:$A$49,0),MATCH(orders!L$1,products!$A$1:$G$1,0))</f>
        <v>13.75</v>
      </c>
      <c r="M149" s="4">
        <f t="shared" si="6"/>
        <v>27.5</v>
      </c>
      <c r="N149" t="str">
        <f t="shared" si="7"/>
        <v>Excelsa</v>
      </c>
      <c r="O149" t="str">
        <f t="shared" si="8"/>
        <v>Medium</v>
      </c>
      <c r="P149" t="str">
        <f>_xlfn.XLOOKUP(Table1[[#This Row],[Customer ID]],customers!$A$1:$A$1001,customers!$I$1:$I$1001,,0)</f>
        <v>No</v>
      </c>
    </row>
    <row r="150" spans="1:16" x14ac:dyDescent="0.3">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6">
        <f>INDEX(products!$A$1:$G$49,MATCH(orders!$D150,products!$A$1:$A$49,0),MATCH(orders!K$1,products!$A$1:$G$1,0))</f>
        <v>0.2</v>
      </c>
      <c r="L150" s="5">
        <f>INDEX(products!$A$1:$G$49,MATCH(orders!$D150,products!$A$1:$A$49,0),MATCH(orders!L$1,products!$A$1:$G$1,0))</f>
        <v>3.645</v>
      </c>
      <c r="M150" s="4">
        <f t="shared" si="6"/>
        <v>18.225000000000001</v>
      </c>
      <c r="N150" t="str">
        <f t="shared" si="7"/>
        <v>Excelsa</v>
      </c>
      <c r="O150" t="str">
        <f t="shared" si="8"/>
        <v>Dark</v>
      </c>
      <c r="P150" t="str">
        <f>_xlfn.XLOOKUP(Table1[[#This Row],[Customer ID]],customers!$A$1:$A$1001,customers!$I$1:$I$1001,,0)</f>
        <v>Yes</v>
      </c>
    </row>
    <row r="151" spans="1:16" x14ac:dyDescent="0.3">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6">
        <f>INDEX(products!$A$1:$G$49,MATCH(orders!$D151,products!$A$1:$A$49,0),MATCH(orders!K$1,products!$A$1:$G$1,0))</f>
        <v>2.5</v>
      </c>
      <c r="L151" s="5">
        <f>INDEX(products!$A$1:$G$49,MATCH(orders!$D151,products!$A$1:$A$49,0),MATCH(orders!L$1,products!$A$1:$G$1,0))</f>
        <v>25.874999999999996</v>
      </c>
      <c r="M151" s="4">
        <f t="shared" si="6"/>
        <v>51.749999999999993</v>
      </c>
      <c r="N151" t="str">
        <f t="shared" si="7"/>
        <v>Arabica</v>
      </c>
      <c r="O151" t="str">
        <f t="shared" si="8"/>
        <v>Medium</v>
      </c>
      <c r="P151" t="str">
        <f>_xlfn.XLOOKUP(Table1[[#This Row],[Customer ID]],customers!$A$1:$A$1001,customers!$I$1:$I$1001,,0)</f>
        <v>Yes</v>
      </c>
    </row>
    <row r="152" spans="1:16" x14ac:dyDescent="0.3">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6">
        <f>INDEX(products!$A$1:$G$49,MATCH(orders!$D152,products!$A$1:$A$49,0),MATCH(orders!K$1,products!$A$1:$G$1,0))</f>
        <v>1</v>
      </c>
      <c r="L152" s="5">
        <f>INDEX(products!$A$1:$G$49,MATCH(orders!$D152,products!$A$1:$A$49,0),MATCH(orders!L$1,products!$A$1:$G$1,0))</f>
        <v>12.95</v>
      </c>
      <c r="M152" s="4">
        <f t="shared" si="6"/>
        <v>12.95</v>
      </c>
      <c r="N152" t="str">
        <f t="shared" si="7"/>
        <v>Librica</v>
      </c>
      <c r="O152" t="str">
        <f t="shared" si="8"/>
        <v>Dark</v>
      </c>
      <c r="P152" t="str">
        <f>_xlfn.XLOOKUP(Table1[[#This Row],[Customer ID]],customers!$A$1:$A$1001,customers!$I$1:$I$1001,,0)</f>
        <v>Yes</v>
      </c>
    </row>
    <row r="153" spans="1:16" x14ac:dyDescent="0.3">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6">
        <f>INDEX(products!$A$1:$G$49,MATCH(orders!$D153,products!$A$1:$A$49,0),MATCH(orders!K$1,products!$A$1:$G$1,0))</f>
        <v>1</v>
      </c>
      <c r="L153" s="5">
        <f>INDEX(products!$A$1:$G$49,MATCH(orders!$D153,products!$A$1:$A$49,0),MATCH(orders!L$1,products!$A$1:$G$1,0))</f>
        <v>11.25</v>
      </c>
      <c r="M153" s="4">
        <f t="shared" si="6"/>
        <v>33.75</v>
      </c>
      <c r="N153" t="str">
        <f t="shared" si="7"/>
        <v>Arabica</v>
      </c>
      <c r="O153" t="str">
        <f t="shared" si="8"/>
        <v>Medium</v>
      </c>
      <c r="P153" t="str">
        <f>_xlfn.XLOOKUP(Table1[[#This Row],[Customer ID]],customers!$A$1:$A$1001,customers!$I$1:$I$1001,,0)</f>
        <v>Yes</v>
      </c>
    </row>
    <row r="154" spans="1:16" x14ac:dyDescent="0.3">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6">
        <f>INDEX(products!$A$1:$G$49,MATCH(orders!$D154,products!$A$1:$A$49,0),MATCH(orders!K$1,products!$A$1:$G$1,0))</f>
        <v>2.5</v>
      </c>
      <c r="L154" s="5">
        <f>INDEX(products!$A$1:$G$49,MATCH(orders!$D154,products!$A$1:$A$49,0),MATCH(orders!L$1,products!$A$1:$G$1,0))</f>
        <v>22.884999999999998</v>
      </c>
      <c r="M154" s="4">
        <f t="shared" si="6"/>
        <v>68.655000000000001</v>
      </c>
      <c r="N154" t="str">
        <f t="shared" si="7"/>
        <v>Robusta</v>
      </c>
      <c r="O154" t="str">
        <f t="shared" si="8"/>
        <v>Medium</v>
      </c>
      <c r="P154" t="str">
        <f>_xlfn.XLOOKUP(Table1[[#This Row],[Customer ID]],customers!$A$1:$A$1001,customers!$I$1:$I$1001,,0)</f>
        <v>Yes</v>
      </c>
    </row>
    <row r="155" spans="1:16" x14ac:dyDescent="0.3">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6">
        <f>INDEX(products!$A$1:$G$49,MATCH(orders!$D155,products!$A$1:$A$49,0),MATCH(orders!K$1,products!$A$1:$G$1,0))</f>
        <v>0.2</v>
      </c>
      <c r="L155" s="5">
        <f>INDEX(products!$A$1:$G$49,MATCH(orders!$D155,products!$A$1:$A$49,0),MATCH(orders!L$1,products!$A$1:$G$1,0))</f>
        <v>2.6849999999999996</v>
      </c>
      <c r="M155" s="4">
        <f t="shared" si="6"/>
        <v>2.6849999999999996</v>
      </c>
      <c r="N155" t="str">
        <f t="shared" si="7"/>
        <v>Robusta</v>
      </c>
      <c r="O155" t="str">
        <f t="shared" si="8"/>
        <v>Dark</v>
      </c>
      <c r="P155" t="str">
        <f>_xlfn.XLOOKUP(Table1[[#This Row],[Customer ID]],customers!$A$1:$A$1001,customers!$I$1:$I$1001,,0)</f>
        <v>No</v>
      </c>
    </row>
    <row r="156" spans="1:16" x14ac:dyDescent="0.3">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6">
        <f>INDEX(products!$A$1:$G$49,MATCH(orders!$D156,products!$A$1:$A$49,0),MATCH(orders!K$1,products!$A$1:$G$1,0))</f>
        <v>2.5</v>
      </c>
      <c r="L156" s="5">
        <f>INDEX(products!$A$1:$G$49,MATCH(orders!$D156,products!$A$1:$A$49,0),MATCH(orders!L$1,products!$A$1:$G$1,0))</f>
        <v>22.884999999999998</v>
      </c>
      <c r="M156" s="4">
        <f t="shared" si="6"/>
        <v>114.42499999999998</v>
      </c>
      <c r="N156" t="str">
        <f t="shared" si="7"/>
        <v>Arabica</v>
      </c>
      <c r="O156" t="str">
        <f t="shared" si="8"/>
        <v>Dark</v>
      </c>
      <c r="P156" t="str">
        <f>_xlfn.XLOOKUP(Table1[[#This Row],[Customer ID]],customers!$A$1:$A$1001,customers!$I$1:$I$1001,,0)</f>
        <v>No</v>
      </c>
    </row>
    <row r="157" spans="1:16" x14ac:dyDescent="0.3">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6">
        <f>INDEX(products!$A$1:$G$49,MATCH(orders!$D157,products!$A$1:$A$49,0),MATCH(orders!K$1,products!$A$1:$G$1,0))</f>
        <v>2.5</v>
      </c>
      <c r="L157" s="5">
        <f>INDEX(products!$A$1:$G$49,MATCH(orders!$D157,products!$A$1:$A$49,0),MATCH(orders!L$1,products!$A$1:$G$1,0))</f>
        <v>25.874999999999996</v>
      </c>
      <c r="M157" s="4">
        <f t="shared" si="6"/>
        <v>155.24999999999997</v>
      </c>
      <c r="N157" t="str">
        <f t="shared" si="7"/>
        <v>Arabica</v>
      </c>
      <c r="O157" t="str">
        <f t="shared" si="8"/>
        <v>Medium</v>
      </c>
      <c r="P157" t="str">
        <f>_xlfn.XLOOKUP(Table1[[#This Row],[Customer ID]],customers!$A$1:$A$1001,customers!$I$1:$I$1001,,0)</f>
        <v>Yes</v>
      </c>
    </row>
    <row r="158" spans="1:16" x14ac:dyDescent="0.3">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6">
        <f>INDEX(products!$A$1:$G$49,MATCH(orders!$D158,products!$A$1:$A$49,0),MATCH(orders!K$1,products!$A$1:$G$1,0))</f>
        <v>2.5</v>
      </c>
      <c r="L158" s="5">
        <f>INDEX(products!$A$1:$G$49,MATCH(orders!$D158,products!$A$1:$A$49,0),MATCH(orders!L$1,products!$A$1:$G$1,0))</f>
        <v>25.874999999999996</v>
      </c>
      <c r="M158" s="4">
        <f t="shared" si="6"/>
        <v>77.624999999999986</v>
      </c>
      <c r="N158" t="str">
        <f t="shared" si="7"/>
        <v>Arabica</v>
      </c>
      <c r="O158" t="str">
        <f t="shared" si="8"/>
        <v>Medium</v>
      </c>
      <c r="P158" t="str">
        <f>_xlfn.XLOOKUP(Table1[[#This Row],[Customer ID]],customers!$A$1:$A$1001,customers!$I$1:$I$1001,,0)</f>
        <v>Yes</v>
      </c>
    </row>
    <row r="159" spans="1:16" x14ac:dyDescent="0.3">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6">
        <f>INDEX(products!$A$1:$G$49,MATCH(orders!$D159,products!$A$1:$A$49,0),MATCH(orders!K$1,products!$A$1:$G$1,0))</f>
        <v>2.5</v>
      </c>
      <c r="L159" s="5">
        <f>INDEX(products!$A$1:$G$49,MATCH(orders!$D159,products!$A$1:$A$49,0),MATCH(orders!L$1,products!$A$1:$G$1,0))</f>
        <v>20.584999999999997</v>
      </c>
      <c r="M159" s="4">
        <f t="shared" si="6"/>
        <v>61.754999999999995</v>
      </c>
      <c r="N159" t="str">
        <f t="shared" si="7"/>
        <v>Robusta</v>
      </c>
      <c r="O159" t="str">
        <f t="shared" si="8"/>
        <v>Dark</v>
      </c>
      <c r="P159" t="str">
        <f>_xlfn.XLOOKUP(Table1[[#This Row],[Customer ID]],customers!$A$1:$A$1001,customers!$I$1:$I$1001,,0)</f>
        <v>No</v>
      </c>
    </row>
    <row r="160" spans="1:16" x14ac:dyDescent="0.3">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6">
        <f>INDEX(products!$A$1:$G$49,MATCH(orders!$D160,products!$A$1:$A$49,0),MATCH(orders!K$1,products!$A$1:$G$1,0))</f>
        <v>2.5</v>
      </c>
      <c r="L160" s="5">
        <f>INDEX(products!$A$1:$G$49,MATCH(orders!$D160,products!$A$1:$A$49,0),MATCH(orders!L$1,products!$A$1:$G$1,0))</f>
        <v>20.584999999999997</v>
      </c>
      <c r="M160" s="4">
        <f t="shared" si="6"/>
        <v>123.50999999999999</v>
      </c>
      <c r="N160" t="str">
        <f t="shared" si="7"/>
        <v>Robusta</v>
      </c>
      <c r="O160" t="str">
        <f t="shared" si="8"/>
        <v>Dark</v>
      </c>
      <c r="P160" t="str">
        <f>_xlfn.XLOOKUP(Table1[[#This Row],[Customer ID]],customers!$A$1:$A$1001,customers!$I$1:$I$1001,,0)</f>
        <v>Yes</v>
      </c>
    </row>
    <row r="161" spans="1:16" x14ac:dyDescent="0.3">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6">
        <f>INDEX(products!$A$1:$G$49,MATCH(orders!$D161,products!$A$1:$A$49,0),MATCH(orders!K$1,products!$A$1:$G$1,0))</f>
        <v>2.5</v>
      </c>
      <c r="L161" s="5">
        <f>INDEX(products!$A$1:$G$49,MATCH(orders!$D161,products!$A$1:$A$49,0),MATCH(orders!L$1,products!$A$1:$G$1,0))</f>
        <v>36.454999999999998</v>
      </c>
      <c r="M161" s="4">
        <f t="shared" si="6"/>
        <v>218.73</v>
      </c>
      <c r="N161" t="str">
        <f t="shared" si="7"/>
        <v>Librica</v>
      </c>
      <c r="O161" t="str">
        <f t="shared" si="8"/>
        <v>Light</v>
      </c>
      <c r="P161" t="str">
        <f>_xlfn.XLOOKUP(Table1[[#This Row],[Customer ID]],customers!$A$1:$A$1001,customers!$I$1:$I$1001,,0)</f>
        <v>No</v>
      </c>
    </row>
    <row r="162" spans="1:16" x14ac:dyDescent="0.3">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6">
        <f>INDEX(products!$A$1:$G$49,MATCH(orders!$D162,products!$A$1:$A$49,0),MATCH(orders!K$1,products!$A$1:$G$1,0))</f>
        <v>0.5</v>
      </c>
      <c r="L162" s="5">
        <f>INDEX(products!$A$1:$G$49,MATCH(orders!$D162,products!$A$1:$A$49,0),MATCH(orders!L$1,products!$A$1:$G$1,0))</f>
        <v>8.25</v>
      </c>
      <c r="M162" s="4">
        <f t="shared" si="6"/>
        <v>33</v>
      </c>
      <c r="N162" t="str">
        <f t="shared" si="7"/>
        <v>Excelsa</v>
      </c>
      <c r="O162" t="str">
        <f t="shared" si="8"/>
        <v>Medium</v>
      </c>
      <c r="P162" t="str">
        <f>_xlfn.XLOOKUP(Table1[[#This Row],[Customer ID]],customers!$A$1:$A$1001,customers!$I$1:$I$1001,,0)</f>
        <v>No</v>
      </c>
    </row>
    <row r="163" spans="1:16" x14ac:dyDescent="0.3">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6">
        <f>INDEX(products!$A$1:$G$49,MATCH(orders!$D163,products!$A$1:$A$49,0),MATCH(orders!K$1,products!$A$1:$G$1,0))</f>
        <v>0.5</v>
      </c>
      <c r="L163" s="5">
        <f>INDEX(products!$A$1:$G$49,MATCH(orders!$D163,products!$A$1:$A$49,0),MATCH(orders!L$1,products!$A$1:$G$1,0))</f>
        <v>7.77</v>
      </c>
      <c r="M163" s="4">
        <f t="shared" si="6"/>
        <v>23.31</v>
      </c>
      <c r="N163" t="str">
        <f t="shared" si="7"/>
        <v>Arabica</v>
      </c>
      <c r="O163" t="str">
        <f t="shared" si="8"/>
        <v>Light</v>
      </c>
      <c r="P163" t="str">
        <f>_xlfn.XLOOKUP(Table1[[#This Row],[Customer ID]],customers!$A$1:$A$1001,customers!$I$1:$I$1001,,0)</f>
        <v>No</v>
      </c>
    </row>
    <row r="164" spans="1:16" x14ac:dyDescent="0.3">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6">
        <f>INDEX(products!$A$1:$G$49,MATCH(orders!$D164,products!$A$1:$A$49,0),MATCH(orders!K$1,products!$A$1:$G$1,0))</f>
        <v>0.5</v>
      </c>
      <c r="L164" s="5">
        <f>INDEX(products!$A$1:$G$49,MATCH(orders!$D164,products!$A$1:$A$49,0),MATCH(orders!L$1,products!$A$1:$G$1,0))</f>
        <v>7.29</v>
      </c>
      <c r="M164" s="4">
        <f t="shared" si="6"/>
        <v>21.87</v>
      </c>
      <c r="N164" t="str">
        <f t="shared" si="7"/>
        <v>Excelsa</v>
      </c>
      <c r="O164" t="str">
        <f t="shared" si="8"/>
        <v>Dark</v>
      </c>
      <c r="P164" t="str">
        <f>_xlfn.XLOOKUP(Table1[[#This Row],[Customer ID]],customers!$A$1:$A$1001,customers!$I$1:$I$1001,,0)</f>
        <v>Yes</v>
      </c>
    </row>
    <row r="165" spans="1:16" x14ac:dyDescent="0.3">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6">
        <f>INDEX(products!$A$1:$G$49,MATCH(orders!$D165,products!$A$1:$A$49,0),MATCH(orders!K$1,products!$A$1:$G$1,0))</f>
        <v>0.2</v>
      </c>
      <c r="L165" s="5">
        <f>INDEX(products!$A$1:$G$49,MATCH(orders!$D165,products!$A$1:$A$49,0),MATCH(orders!L$1,products!$A$1:$G$1,0))</f>
        <v>2.6849999999999996</v>
      </c>
      <c r="M165" s="4">
        <f t="shared" si="6"/>
        <v>16.11</v>
      </c>
      <c r="N165" t="str">
        <f t="shared" si="7"/>
        <v>Robusta</v>
      </c>
      <c r="O165" t="str">
        <f t="shared" si="8"/>
        <v>Dark</v>
      </c>
      <c r="P165" t="str">
        <f>_xlfn.XLOOKUP(Table1[[#This Row],[Customer ID]],customers!$A$1:$A$1001,customers!$I$1:$I$1001,,0)</f>
        <v>No</v>
      </c>
    </row>
    <row r="166" spans="1:16" x14ac:dyDescent="0.3">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6">
        <f>INDEX(products!$A$1:$G$49,MATCH(orders!$D166,products!$A$1:$A$49,0),MATCH(orders!K$1,products!$A$1:$G$1,0))</f>
        <v>0.5</v>
      </c>
      <c r="L166" s="5">
        <f>INDEX(products!$A$1:$G$49,MATCH(orders!$D166,products!$A$1:$A$49,0),MATCH(orders!L$1,products!$A$1:$G$1,0))</f>
        <v>7.29</v>
      </c>
      <c r="M166" s="4">
        <f t="shared" si="6"/>
        <v>29.16</v>
      </c>
      <c r="N166" t="str">
        <f t="shared" si="7"/>
        <v>Excelsa</v>
      </c>
      <c r="O166" t="str">
        <f t="shared" si="8"/>
        <v>Dark</v>
      </c>
      <c r="P166" t="str">
        <f>_xlfn.XLOOKUP(Table1[[#This Row],[Customer ID]],customers!$A$1:$A$1001,customers!$I$1:$I$1001,,0)</f>
        <v>No</v>
      </c>
    </row>
    <row r="167" spans="1:16" x14ac:dyDescent="0.3">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6">
        <f>INDEX(products!$A$1:$G$49,MATCH(orders!$D167,products!$A$1:$A$49,0),MATCH(orders!K$1,products!$A$1:$G$1,0))</f>
        <v>1</v>
      </c>
      <c r="L167" s="5">
        <f>INDEX(products!$A$1:$G$49,MATCH(orders!$D167,products!$A$1:$A$49,0),MATCH(orders!L$1,products!$A$1:$G$1,0))</f>
        <v>8.9499999999999993</v>
      </c>
      <c r="M167" s="4">
        <f t="shared" si="6"/>
        <v>53.699999999999996</v>
      </c>
      <c r="N167" t="str">
        <f t="shared" si="7"/>
        <v>Robusta</v>
      </c>
      <c r="O167" t="str">
        <f t="shared" si="8"/>
        <v>Dark</v>
      </c>
      <c r="P167" t="str">
        <f>_xlfn.XLOOKUP(Table1[[#This Row],[Customer ID]],customers!$A$1:$A$1001,customers!$I$1:$I$1001,,0)</f>
        <v>Yes</v>
      </c>
    </row>
    <row r="168" spans="1:16" x14ac:dyDescent="0.3">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6">
        <f>INDEX(products!$A$1:$G$49,MATCH(orders!$D168,products!$A$1:$A$49,0),MATCH(orders!K$1,products!$A$1:$G$1,0))</f>
        <v>0.5</v>
      </c>
      <c r="L168" s="5">
        <f>INDEX(products!$A$1:$G$49,MATCH(orders!$D168,products!$A$1:$A$49,0),MATCH(orders!L$1,products!$A$1:$G$1,0))</f>
        <v>5.3699999999999992</v>
      </c>
      <c r="M168" s="4">
        <f t="shared" si="6"/>
        <v>26.849999999999994</v>
      </c>
      <c r="N168" t="str">
        <f t="shared" si="7"/>
        <v>Robusta</v>
      </c>
      <c r="O168" t="str">
        <f t="shared" si="8"/>
        <v>Dark</v>
      </c>
      <c r="P168" t="str">
        <f>_xlfn.XLOOKUP(Table1[[#This Row],[Customer ID]],customers!$A$1:$A$1001,customers!$I$1:$I$1001,,0)</f>
        <v>Yes</v>
      </c>
    </row>
    <row r="169" spans="1:16" x14ac:dyDescent="0.3">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6">
        <f>INDEX(products!$A$1:$G$49,MATCH(orders!$D169,products!$A$1:$A$49,0),MATCH(orders!K$1,products!$A$1:$G$1,0))</f>
        <v>0.5</v>
      </c>
      <c r="L169" s="5">
        <f>INDEX(products!$A$1:$G$49,MATCH(orders!$D169,products!$A$1:$A$49,0),MATCH(orders!L$1,products!$A$1:$G$1,0))</f>
        <v>8.25</v>
      </c>
      <c r="M169" s="4">
        <f t="shared" si="6"/>
        <v>41.25</v>
      </c>
      <c r="N169" t="str">
        <f t="shared" si="7"/>
        <v>Excelsa</v>
      </c>
      <c r="O169" t="str">
        <f t="shared" si="8"/>
        <v>Medium</v>
      </c>
      <c r="P169" t="str">
        <f>_xlfn.XLOOKUP(Table1[[#This Row],[Customer ID]],customers!$A$1:$A$1001,customers!$I$1:$I$1001,,0)</f>
        <v>Yes</v>
      </c>
    </row>
    <row r="170" spans="1:16" x14ac:dyDescent="0.3">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6">
        <f>INDEX(products!$A$1:$G$49,MATCH(orders!$D170,products!$A$1:$A$49,0),MATCH(orders!K$1,products!$A$1:$G$1,0))</f>
        <v>0.5</v>
      </c>
      <c r="L170" s="5">
        <f>INDEX(products!$A$1:$G$49,MATCH(orders!$D170,products!$A$1:$A$49,0),MATCH(orders!L$1,products!$A$1:$G$1,0))</f>
        <v>6.75</v>
      </c>
      <c r="M170" s="4">
        <f t="shared" si="6"/>
        <v>40.5</v>
      </c>
      <c r="N170" t="str">
        <f t="shared" si="7"/>
        <v>Arabica</v>
      </c>
      <c r="O170" t="str">
        <f t="shared" si="8"/>
        <v>Medium</v>
      </c>
      <c r="P170" t="str">
        <f>_xlfn.XLOOKUP(Table1[[#This Row],[Customer ID]],customers!$A$1:$A$1001,customers!$I$1:$I$1001,,0)</f>
        <v>No</v>
      </c>
    </row>
    <row r="171" spans="1:16" x14ac:dyDescent="0.3">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6">
        <f>INDEX(products!$A$1:$G$49,MATCH(orders!$D171,products!$A$1:$A$49,0),MATCH(orders!K$1,products!$A$1:$G$1,0))</f>
        <v>1</v>
      </c>
      <c r="L171" s="5">
        <f>INDEX(products!$A$1:$G$49,MATCH(orders!$D171,products!$A$1:$A$49,0),MATCH(orders!L$1,products!$A$1:$G$1,0))</f>
        <v>8.9499999999999993</v>
      </c>
      <c r="M171" s="4">
        <f t="shared" si="6"/>
        <v>17.899999999999999</v>
      </c>
      <c r="N171" t="str">
        <f t="shared" si="7"/>
        <v>Robusta</v>
      </c>
      <c r="O171" t="str">
        <f t="shared" si="8"/>
        <v>Dark</v>
      </c>
      <c r="P171" t="str">
        <f>_xlfn.XLOOKUP(Table1[[#This Row],[Customer ID]],customers!$A$1:$A$1001,customers!$I$1:$I$1001,,0)</f>
        <v>No</v>
      </c>
    </row>
    <row r="172" spans="1:16" x14ac:dyDescent="0.3">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6">
        <f>INDEX(products!$A$1:$G$49,MATCH(orders!$D172,products!$A$1:$A$49,0),MATCH(orders!K$1,products!$A$1:$G$1,0))</f>
        <v>2.5</v>
      </c>
      <c r="L172" s="5">
        <f>INDEX(products!$A$1:$G$49,MATCH(orders!$D172,products!$A$1:$A$49,0),MATCH(orders!L$1,products!$A$1:$G$1,0))</f>
        <v>34.154999999999994</v>
      </c>
      <c r="M172" s="4">
        <f t="shared" si="6"/>
        <v>68.309999999999988</v>
      </c>
      <c r="N172" t="str">
        <f t="shared" si="7"/>
        <v>Excelsa</v>
      </c>
      <c r="O172" t="str">
        <f t="shared" si="8"/>
        <v>Light</v>
      </c>
      <c r="P172" t="str">
        <f>_xlfn.XLOOKUP(Table1[[#This Row],[Customer ID]],customers!$A$1:$A$1001,customers!$I$1:$I$1001,,0)</f>
        <v>No</v>
      </c>
    </row>
    <row r="173" spans="1:16" x14ac:dyDescent="0.3">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6">
        <f>INDEX(products!$A$1:$G$49,MATCH(orders!$D173,products!$A$1:$A$49,0),MATCH(orders!K$1,products!$A$1:$G$1,0))</f>
        <v>2.5</v>
      </c>
      <c r="L173" s="5">
        <f>INDEX(products!$A$1:$G$49,MATCH(orders!$D173,products!$A$1:$A$49,0),MATCH(orders!L$1,products!$A$1:$G$1,0))</f>
        <v>31.624999999999996</v>
      </c>
      <c r="M173" s="4">
        <f t="shared" si="6"/>
        <v>63.249999999999993</v>
      </c>
      <c r="N173" t="str">
        <f t="shared" si="7"/>
        <v>Excelsa</v>
      </c>
      <c r="O173" t="str">
        <f t="shared" si="8"/>
        <v>Medium</v>
      </c>
      <c r="P173" t="str">
        <f>_xlfn.XLOOKUP(Table1[[#This Row],[Customer ID]],customers!$A$1:$A$1001,customers!$I$1:$I$1001,,0)</f>
        <v>Yes</v>
      </c>
    </row>
    <row r="174" spans="1:16" x14ac:dyDescent="0.3">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6">
        <f>INDEX(products!$A$1:$G$49,MATCH(orders!$D174,products!$A$1:$A$49,0),MATCH(orders!K$1,products!$A$1:$G$1,0))</f>
        <v>0.5</v>
      </c>
      <c r="L174" s="5">
        <f>INDEX(products!$A$1:$G$49,MATCH(orders!$D174,products!$A$1:$A$49,0),MATCH(orders!L$1,products!$A$1:$G$1,0))</f>
        <v>7.29</v>
      </c>
      <c r="M174" s="4">
        <f t="shared" si="6"/>
        <v>21.87</v>
      </c>
      <c r="N174" t="str">
        <f t="shared" si="7"/>
        <v>Excelsa</v>
      </c>
      <c r="O174" t="str">
        <f t="shared" si="8"/>
        <v>Dark</v>
      </c>
      <c r="P174" t="str">
        <f>_xlfn.XLOOKUP(Table1[[#This Row],[Customer ID]],customers!$A$1:$A$1001,customers!$I$1:$I$1001,,0)</f>
        <v>No</v>
      </c>
    </row>
    <row r="175" spans="1:16" x14ac:dyDescent="0.3">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6">
        <f>INDEX(products!$A$1:$G$49,MATCH(orders!$D175,products!$A$1:$A$49,0),MATCH(orders!K$1,products!$A$1:$G$1,0))</f>
        <v>2.5</v>
      </c>
      <c r="L175" s="5">
        <f>INDEX(products!$A$1:$G$49,MATCH(orders!$D175,products!$A$1:$A$49,0),MATCH(orders!L$1,products!$A$1:$G$1,0))</f>
        <v>22.884999999999998</v>
      </c>
      <c r="M175" s="4">
        <f t="shared" si="6"/>
        <v>91.539999999999992</v>
      </c>
      <c r="N175" t="str">
        <f t="shared" si="7"/>
        <v>Robusta</v>
      </c>
      <c r="O175" t="str">
        <f t="shared" si="8"/>
        <v>Medium</v>
      </c>
      <c r="P175" t="str">
        <f>_xlfn.XLOOKUP(Table1[[#This Row],[Customer ID]],customers!$A$1:$A$1001,customers!$I$1:$I$1001,,0)</f>
        <v>No</v>
      </c>
    </row>
    <row r="176" spans="1:16" x14ac:dyDescent="0.3">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6">
        <f>INDEX(products!$A$1:$G$49,MATCH(orders!$D176,products!$A$1:$A$49,0),MATCH(orders!K$1,products!$A$1:$G$1,0))</f>
        <v>2.5</v>
      </c>
      <c r="L176" s="5">
        <f>INDEX(products!$A$1:$G$49,MATCH(orders!$D176,products!$A$1:$A$49,0),MATCH(orders!L$1,products!$A$1:$G$1,0))</f>
        <v>34.154999999999994</v>
      </c>
      <c r="M176" s="4">
        <f t="shared" si="6"/>
        <v>204.92999999999995</v>
      </c>
      <c r="N176" t="str">
        <f t="shared" si="7"/>
        <v>Excelsa</v>
      </c>
      <c r="O176" t="str">
        <f t="shared" si="8"/>
        <v>Light</v>
      </c>
      <c r="P176" t="str">
        <f>_xlfn.XLOOKUP(Table1[[#This Row],[Customer ID]],customers!$A$1:$A$1001,customers!$I$1:$I$1001,,0)</f>
        <v>Yes</v>
      </c>
    </row>
    <row r="177" spans="1:16" x14ac:dyDescent="0.3">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6">
        <f>INDEX(products!$A$1:$G$49,MATCH(orders!$D177,products!$A$1:$A$49,0),MATCH(orders!K$1,products!$A$1:$G$1,0))</f>
        <v>2.5</v>
      </c>
      <c r="L177" s="5">
        <f>INDEX(products!$A$1:$G$49,MATCH(orders!$D177,products!$A$1:$A$49,0),MATCH(orders!L$1,products!$A$1:$G$1,0))</f>
        <v>31.624999999999996</v>
      </c>
      <c r="M177" s="4">
        <f t="shared" si="6"/>
        <v>63.249999999999993</v>
      </c>
      <c r="N177" t="str">
        <f t="shared" si="7"/>
        <v>Excelsa</v>
      </c>
      <c r="O177" t="str">
        <f t="shared" si="8"/>
        <v>Medium</v>
      </c>
      <c r="P177" t="str">
        <f>_xlfn.XLOOKUP(Table1[[#This Row],[Customer ID]],customers!$A$1:$A$1001,customers!$I$1:$I$1001,,0)</f>
        <v>Yes</v>
      </c>
    </row>
    <row r="178" spans="1:16" x14ac:dyDescent="0.3">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6">
        <f>INDEX(products!$A$1:$G$49,MATCH(orders!$D178,products!$A$1:$A$49,0),MATCH(orders!K$1,products!$A$1:$G$1,0))</f>
        <v>2.5</v>
      </c>
      <c r="L178" s="5">
        <f>INDEX(products!$A$1:$G$49,MATCH(orders!$D178,products!$A$1:$A$49,0),MATCH(orders!L$1,products!$A$1:$G$1,0))</f>
        <v>34.154999999999994</v>
      </c>
      <c r="M178" s="4">
        <f t="shared" si="6"/>
        <v>34.154999999999994</v>
      </c>
      <c r="N178" t="str">
        <f t="shared" si="7"/>
        <v>Excelsa</v>
      </c>
      <c r="O178" t="str">
        <f t="shared" si="8"/>
        <v>Light</v>
      </c>
      <c r="P178" t="str">
        <f>_xlfn.XLOOKUP(Table1[[#This Row],[Customer ID]],customers!$A$1:$A$1001,customers!$I$1:$I$1001,,0)</f>
        <v>Yes</v>
      </c>
    </row>
    <row r="179" spans="1:16" x14ac:dyDescent="0.3">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6">
        <f>INDEX(products!$A$1:$G$49,MATCH(orders!$D179,products!$A$1:$A$49,0),MATCH(orders!K$1,products!$A$1:$G$1,0))</f>
        <v>2.5</v>
      </c>
      <c r="L179" s="5">
        <f>INDEX(products!$A$1:$G$49,MATCH(orders!$D179,products!$A$1:$A$49,0),MATCH(orders!L$1,products!$A$1:$G$1,0))</f>
        <v>27.484999999999996</v>
      </c>
      <c r="M179" s="4">
        <f t="shared" si="6"/>
        <v>109.93999999999998</v>
      </c>
      <c r="N179" t="str">
        <f t="shared" si="7"/>
        <v>Robusta</v>
      </c>
      <c r="O179" t="str">
        <f t="shared" si="8"/>
        <v>Light</v>
      </c>
      <c r="P179" t="str">
        <f>_xlfn.XLOOKUP(Table1[[#This Row],[Customer ID]],customers!$A$1:$A$1001,customers!$I$1:$I$1001,,0)</f>
        <v>Yes</v>
      </c>
    </row>
    <row r="180" spans="1:16" x14ac:dyDescent="0.3">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6">
        <f>INDEX(products!$A$1:$G$49,MATCH(orders!$D180,products!$A$1:$A$49,0),MATCH(orders!K$1,products!$A$1:$G$1,0))</f>
        <v>1</v>
      </c>
      <c r="L180" s="5">
        <f>INDEX(products!$A$1:$G$49,MATCH(orders!$D180,products!$A$1:$A$49,0),MATCH(orders!L$1,products!$A$1:$G$1,0))</f>
        <v>12.95</v>
      </c>
      <c r="M180" s="4">
        <f t="shared" si="6"/>
        <v>25.9</v>
      </c>
      <c r="N180" t="str">
        <f t="shared" si="7"/>
        <v>Arabica</v>
      </c>
      <c r="O180" t="str">
        <f t="shared" si="8"/>
        <v>Light</v>
      </c>
      <c r="P180" t="str">
        <f>_xlfn.XLOOKUP(Table1[[#This Row],[Customer ID]],customers!$A$1:$A$1001,customers!$I$1:$I$1001,,0)</f>
        <v>No</v>
      </c>
    </row>
    <row r="181" spans="1:16" x14ac:dyDescent="0.3">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6">
        <f>INDEX(products!$A$1:$G$49,MATCH(orders!$D181,products!$A$1:$A$49,0),MATCH(orders!K$1,products!$A$1:$G$1,0))</f>
        <v>0.2</v>
      </c>
      <c r="L181" s="5">
        <f>INDEX(products!$A$1:$G$49,MATCH(orders!$D181,products!$A$1:$A$49,0),MATCH(orders!L$1,products!$A$1:$G$1,0))</f>
        <v>2.9849999999999999</v>
      </c>
      <c r="M181" s="4">
        <f t="shared" si="6"/>
        <v>2.9849999999999999</v>
      </c>
      <c r="N181" t="str">
        <f t="shared" si="7"/>
        <v>Arabica</v>
      </c>
      <c r="O181" t="str">
        <f t="shared" si="8"/>
        <v>Dark</v>
      </c>
      <c r="P181" t="str">
        <f>_xlfn.XLOOKUP(Table1[[#This Row],[Customer ID]],customers!$A$1:$A$1001,customers!$I$1:$I$1001,,0)</f>
        <v>No</v>
      </c>
    </row>
    <row r="182" spans="1:16" x14ac:dyDescent="0.3">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6">
        <f>INDEX(products!$A$1:$G$49,MATCH(orders!$D182,products!$A$1:$A$49,0),MATCH(orders!K$1,products!$A$1:$G$1,0))</f>
        <v>0.2</v>
      </c>
      <c r="L182" s="5">
        <f>INDEX(products!$A$1:$G$49,MATCH(orders!$D182,products!$A$1:$A$49,0),MATCH(orders!L$1,products!$A$1:$G$1,0))</f>
        <v>4.4550000000000001</v>
      </c>
      <c r="M182" s="4">
        <f t="shared" si="6"/>
        <v>22.274999999999999</v>
      </c>
      <c r="N182" t="str">
        <f t="shared" si="7"/>
        <v>Excelsa</v>
      </c>
      <c r="O182" t="str">
        <f t="shared" si="8"/>
        <v>Light</v>
      </c>
      <c r="P182" t="str">
        <f>_xlfn.XLOOKUP(Table1[[#This Row],[Customer ID]],customers!$A$1:$A$1001,customers!$I$1:$I$1001,,0)</f>
        <v>No</v>
      </c>
    </row>
    <row r="183" spans="1:16" x14ac:dyDescent="0.3">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6">
        <f>INDEX(products!$A$1:$G$49,MATCH(orders!$D183,products!$A$1:$A$49,0),MATCH(orders!K$1,products!$A$1:$G$1,0))</f>
        <v>0.5</v>
      </c>
      <c r="L183" s="5">
        <f>INDEX(products!$A$1:$G$49,MATCH(orders!$D183,products!$A$1:$A$49,0),MATCH(orders!L$1,products!$A$1:$G$1,0))</f>
        <v>5.97</v>
      </c>
      <c r="M183" s="4">
        <f t="shared" si="6"/>
        <v>29.849999999999998</v>
      </c>
      <c r="N183" t="str">
        <f t="shared" si="7"/>
        <v>Arabica</v>
      </c>
      <c r="O183" t="str">
        <f t="shared" si="8"/>
        <v>Dark</v>
      </c>
      <c r="P183" t="str">
        <f>_xlfn.XLOOKUP(Table1[[#This Row],[Customer ID]],customers!$A$1:$A$1001,customers!$I$1:$I$1001,,0)</f>
        <v>No</v>
      </c>
    </row>
    <row r="184" spans="1:16" x14ac:dyDescent="0.3">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6">
        <f>INDEX(products!$A$1:$G$49,MATCH(orders!$D184,products!$A$1:$A$49,0),MATCH(orders!K$1,products!$A$1:$G$1,0))</f>
        <v>0.5</v>
      </c>
      <c r="L184" s="5">
        <f>INDEX(products!$A$1:$G$49,MATCH(orders!$D184,products!$A$1:$A$49,0),MATCH(orders!L$1,products!$A$1:$G$1,0))</f>
        <v>5.3699999999999992</v>
      </c>
      <c r="M184" s="4">
        <f t="shared" si="6"/>
        <v>32.22</v>
      </c>
      <c r="N184" t="str">
        <f t="shared" si="7"/>
        <v>Robusta</v>
      </c>
      <c r="O184" t="str">
        <f t="shared" si="8"/>
        <v>Dark</v>
      </c>
      <c r="P184" t="str">
        <f>_xlfn.XLOOKUP(Table1[[#This Row],[Customer ID]],customers!$A$1:$A$1001,customers!$I$1:$I$1001,,0)</f>
        <v>No</v>
      </c>
    </row>
    <row r="185" spans="1:16" x14ac:dyDescent="0.3">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6">
        <f>INDEX(products!$A$1:$G$49,MATCH(orders!$D185,products!$A$1:$A$49,0),MATCH(orders!K$1,products!$A$1:$G$1,0))</f>
        <v>0.2</v>
      </c>
      <c r="L185" s="5">
        <f>INDEX(products!$A$1:$G$49,MATCH(orders!$D185,products!$A$1:$A$49,0),MATCH(orders!L$1,products!$A$1:$G$1,0))</f>
        <v>4.125</v>
      </c>
      <c r="M185" s="4">
        <f t="shared" si="6"/>
        <v>8.25</v>
      </c>
      <c r="N185" t="str">
        <f t="shared" si="7"/>
        <v>Excelsa</v>
      </c>
      <c r="O185" t="str">
        <f t="shared" si="8"/>
        <v>Medium</v>
      </c>
      <c r="P185" t="str">
        <f>_xlfn.XLOOKUP(Table1[[#This Row],[Customer ID]],customers!$A$1:$A$1001,customers!$I$1:$I$1001,,0)</f>
        <v>No</v>
      </c>
    </row>
    <row r="186" spans="1:16" x14ac:dyDescent="0.3">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6">
        <f>INDEX(products!$A$1:$G$49,MATCH(orders!$D186,products!$A$1:$A$49,0),MATCH(orders!K$1,products!$A$1:$G$1,0))</f>
        <v>0.5</v>
      </c>
      <c r="L186" s="5">
        <f>INDEX(products!$A$1:$G$49,MATCH(orders!$D186,products!$A$1:$A$49,0),MATCH(orders!L$1,products!$A$1:$G$1,0))</f>
        <v>7.77</v>
      </c>
      <c r="M186" s="4">
        <f t="shared" si="6"/>
        <v>31.08</v>
      </c>
      <c r="N186" t="str">
        <f t="shared" si="7"/>
        <v>Arabica</v>
      </c>
      <c r="O186" t="str">
        <f t="shared" si="8"/>
        <v>Light</v>
      </c>
      <c r="P186" t="str">
        <f>_xlfn.XLOOKUP(Table1[[#This Row],[Customer ID]],customers!$A$1:$A$1001,customers!$I$1:$I$1001,,0)</f>
        <v>No</v>
      </c>
    </row>
    <row r="187" spans="1:16" x14ac:dyDescent="0.3">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6">
        <f>INDEX(products!$A$1:$G$49,MATCH(orders!$D187,products!$A$1:$A$49,0),MATCH(orders!K$1,products!$A$1:$G$1,0))</f>
        <v>0.5</v>
      </c>
      <c r="L187" s="5">
        <f>INDEX(products!$A$1:$G$49,MATCH(orders!$D187,products!$A$1:$A$49,0),MATCH(orders!L$1,products!$A$1:$G$1,0))</f>
        <v>7.29</v>
      </c>
      <c r="M187" s="4">
        <f t="shared" si="6"/>
        <v>36.450000000000003</v>
      </c>
      <c r="N187" t="str">
        <f t="shared" si="7"/>
        <v>Excelsa</v>
      </c>
      <c r="O187" t="str">
        <f t="shared" si="8"/>
        <v>Dark</v>
      </c>
      <c r="P187" t="str">
        <f>_xlfn.XLOOKUP(Table1[[#This Row],[Customer ID]],customers!$A$1:$A$1001,customers!$I$1:$I$1001,,0)</f>
        <v>Yes</v>
      </c>
    </row>
    <row r="188" spans="1:16" x14ac:dyDescent="0.3">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6">
        <f>INDEX(products!$A$1:$G$49,MATCH(orders!$D188,products!$A$1:$A$49,0),MATCH(orders!K$1,products!$A$1:$G$1,0))</f>
        <v>2.5</v>
      </c>
      <c r="L188" s="5">
        <f>INDEX(products!$A$1:$G$49,MATCH(orders!$D188,products!$A$1:$A$49,0),MATCH(orders!L$1,products!$A$1:$G$1,0))</f>
        <v>22.884999999999998</v>
      </c>
      <c r="M188" s="4">
        <f t="shared" si="6"/>
        <v>68.655000000000001</v>
      </c>
      <c r="N188" t="str">
        <f t="shared" si="7"/>
        <v>Robusta</v>
      </c>
      <c r="O188" t="str">
        <f t="shared" si="8"/>
        <v>Medium</v>
      </c>
      <c r="P188" t="str">
        <f>_xlfn.XLOOKUP(Table1[[#This Row],[Customer ID]],customers!$A$1:$A$1001,customers!$I$1:$I$1001,,0)</f>
        <v>No</v>
      </c>
    </row>
    <row r="189" spans="1:16" x14ac:dyDescent="0.3">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6">
        <f>INDEX(products!$A$1:$G$49,MATCH(orders!$D189,products!$A$1:$A$49,0),MATCH(orders!K$1,products!$A$1:$G$1,0))</f>
        <v>0.5</v>
      </c>
      <c r="L189" s="5">
        <f>INDEX(products!$A$1:$G$49,MATCH(orders!$D189,products!$A$1:$A$49,0),MATCH(orders!L$1,products!$A$1:$G$1,0))</f>
        <v>8.73</v>
      </c>
      <c r="M189" s="4">
        <f t="shared" si="6"/>
        <v>43.650000000000006</v>
      </c>
      <c r="N189" t="str">
        <f t="shared" si="7"/>
        <v>Librica</v>
      </c>
      <c r="O189" t="str">
        <f t="shared" si="8"/>
        <v>Medium</v>
      </c>
      <c r="P189" t="str">
        <f>_xlfn.XLOOKUP(Table1[[#This Row],[Customer ID]],customers!$A$1:$A$1001,customers!$I$1:$I$1001,,0)</f>
        <v>Yes</v>
      </c>
    </row>
    <row r="190" spans="1:16" x14ac:dyDescent="0.3">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6">
        <f>INDEX(products!$A$1:$G$49,MATCH(orders!$D190,products!$A$1:$A$49,0),MATCH(orders!K$1,products!$A$1:$G$1,0))</f>
        <v>0.2</v>
      </c>
      <c r="L190" s="5">
        <f>INDEX(products!$A$1:$G$49,MATCH(orders!$D190,products!$A$1:$A$49,0),MATCH(orders!L$1,products!$A$1:$G$1,0))</f>
        <v>4.4550000000000001</v>
      </c>
      <c r="M190" s="4">
        <f t="shared" si="6"/>
        <v>4.4550000000000001</v>
      </c>
      <c r="N190" t="str">
        <f t="shared" si="7"/>
        <v>Excelsa</v>
      </c>
      <c r="O190" t="str">
        <f t="shared" si="8"/>
        <v>Light</v>
      </c>
      <c r="P190" t="str">
        <f>_xlfn.XLOOKUP(Table1[[#This Row],[Customer ID]],customers!$A$1:$A$1001,customers!$I$1:$I$1001,,0)</f>
        <v>Yes</v>
      </c>
    </row>
    <row r="191" spans="1:16" x14ac:dyDescent="0.3">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6">
        <f>INDEX(products!$A$1:$G$49,MATCH(orders!$D191,products!$A$1:$A$49,0),MATCH(orders!K$1,products!$A$1:$G$1,0))</f>
        <v>1</v>
      </c>
      <c r="L191" s="5">
        <f>INDEX(products!$A$1:$G$49,MATCH(orders!$D191,products!$A$1:$A$49,0),MATCH(orders!L$1,products!$A$1:$G$1,0))</f>
        <v>14.55</v>
      </c>
      <c r="M191" s="4">
        <f t="shared" si="6"/>
        <v>43.650000000000006</v>
      </c>
      <c r="N191" t="str">
        <f t="shared" si="7"/>
        <v>Librica</v>
      </c>
      <c r="O191" t="str">
        <f t="shared" si="8"/>
        <v>Medium</v>
      </c>
      <c r="P191" t="str">
        <f>_xlfn.XLOOKUP(Table1[[#This Row],[Customer ID]],customers!$A$1:$A$1001,customers!$I$1:$I$1001,,0)</f>
        <v>Yes</v>
      </c>
    </row>
    <row r="192" spans="1:16" x14ac:dyDescent="0.3">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6">
        <f>INDEX(products!$A$1:$G$49,MATCH(orders!$D192,products!$A$1:$A$49,0),MATCH(orders!K$1,products!$A$1:$G$1,0))</f>
        <v>2.5</v>
      </c>
      <c r="L192" s="5">
        <f>INDEX(products!$A$1:$G$49,MATCH(orders!$D192,products!$A$1:$A$49,0),MATCH(orders!L$1,products!$A$1:$G$1,0))</f>
        <v>33.464999999999996</v>
      </c>
      <c r="M192" s="4">
        <f t="shared" si="6"/>
        <v>33.464999999999996</v>
      </c>
      <c r="N192" t="str">
        <f t="shared" si="7"/>
        <v>Librica</v>
      </c>
      <c r="O192" t="str">
        <f t="shared" si="8"/>
        <v>Medium</v>
      </c>
      <c r="P192" t="str">
        <f>_xlfn.XLOOKUP(Table1[[#This Row],[Customer ID]],customers!$A$1:$A$1001,customers!$I$1:$I$1001,,0)</f>
        <v>Yes</v>
      </c>
    </row>
    <row r="193" spans="1:16" x14ac:dyDescent="0.3">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6">
        <f>INDEX(products!$A$1:$G$49,MATCH(orders!$D193,products!$A$1:$A$49,0),MATCH(orders!K$1,products!$A$1:$G$1,0))</f>
        <v>0.2</v>
      </c>
      <c r="L193" s="5">
        <f>INDEX(products!$A$1:$G$49,MATCH(orders!$D193,products!$A$1:$A$49,0),MATCH(orders!L$1,products!$A$1:$G$1,0))</f>
        <v>3.8849999999999998</v>
      </c>
      <c r="M193" s="4">
        <f t="shared" si="6"/>
        <v>19.424999999999997</v>
      </c>
      <c r="N193" t="str">
        <f t="shared" si="7"/>
        <v>Librica</v>
      </c>
      <c r="O193" t="str">
        <f t="shared" si="8"/>
        <v>Dark</v>
      </c>
      <c r="P193" t="str">
        <f>_xlfn.XLOOKUP(Table1[[#This Row],[Customer ID]],customers!$A$1:$A$1001,customers!$I$1:$I$1001,,0)</f>
        <v>Yes</v>
      </c>
    </row>
    <row r="194" spans="1:16" x14ac:dyDescent="0.3">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6">
        <f>INDEX(products!$A$1:$G$49,MATCH(orders!$D194,products!$A$1:$A$49,0),MATCH(orders!K$1,products!$A$1:$G$1,0))</f>
        <v>1</v>
      </c>
      <c r="L194" s="5">
        <f>INDEX(products!$A$1:$G$49,MATCH(orders!$D194,products!$A$1:$A$49,0),MATCH(orders!L$1,products!$A$1:$G$1,0))</f>
        <v>12.15</v>
      </c>
      <c r="M194" s="4">
        <f t="shared" si="6"/>
        <v>72.900000000000006</v>
      </c>
      <c r="N194" t="str">
        <f t="shared" si="7"/>
        <v>Excelsa</v>
      </c>
      <c r="O194" t="str">
        <f t="shared" si="8"/>
        <v>Dark</v>
      </c>
      <c r="P194" t="str">
        <f>_xlfn.XLOOKUP(Table1[[#This Row],[Customer ID]],customers!$A$1:$A$1001,customers!$I$1:$I$1001,,0)</f>
        <v>Yes</v>
      </c>
    </row>
    <row r="195" spans="1:16" x14ac:dyDescent="0.3">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6">
        <f>INDEX(products!$A$1:$G$49,MATCH(orders!$D195,products!$A$1:$A$49,0),MATCH(orders!K$1,products!$A$1:$G$1,0))</f>
        <v>1</v>
      </c>
      <c r="L195" s="5">
        <f>INDEX(products!$A$1:$G$49,MATCH(orders!$D195,products!$A$1:$A$49,0),MATCH(orders!L$1,products!$A$1:$G$1,0))</f>
        <v>14.85</v>
      </c>
      <c r="M195" s="4">
        <f t="shared" ref="M195:M258" si="9">L195*E195</f>
        <v>44.55</v>
      </c>
      <c r="N195" t="str">
        <f t="shared" ref="N195:N258" si="10">IF(I195="Rob","Robusta",IF(I195="Exc","Excelsa",IF(I195="Ara","Arabica",IF(I195="Lib","Librica",""))))</f>
        <v>Excelsa</v>
      </c>
      <c r="O195" t="str">
        <f t="shared" ref="O195:O258" si="11">IF(J195="M","Medium",IF(J195="L","Light",IF(J195="D","Dark","")))</f>
        <v>Light</v>
      </c>
      <c r="P195" t="str">
        <f>_xlfn.XLOOKUP(Table1[[#This Row],[Customer ID]],customers!$A$1:$A$1001,customers!$I$1:$I$1001,,0)</f>
        <v>No</v>
      </c>
    </row>
    <row r="196" spans="1:16" x14ac:dyDescent="0.3">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6">
        <f>INDEX(products!$A$1:$G$49,MATCH(orders!$D196,products!$A$1:$A$49,0),MATCH(orders!K$1,products!$A$1:$G$1,0))</f>
        <v>0.5</v>
      </c>
      <c r="L196" s="5">
        <f>INDEX(products!$A$1:$G$49,MATCH(orders!$D196,products!$A$1:$A$49,0),MATCH(orders!L$1,products!$A$1:$G$1,0))</f>
        <v>7.29</v>
      </c>
      <c r="M196" s="4">
        <f t="shared" si="9"/>
        <v>36.450000000000003</v>
      </c>
      <c r="N196" t="str">
        <f t="shared" si="10"/>
        <v>Excelsa</v>
      </c>
      <c r="O196" t="str">
        <f t="shared" si="11"/>
        <v>Dark</v>
      </c>
      <c r="P196" t="str">
        <f>_xlfn.XLOOKUP(Table1[[#This Row],[Customer ID]],customers!$A$1:$A$1001,customers!$I$1:$I$1001,,0)</f>
        <v>No</v>
      </c>
    </row>
    <row r="197" spans="1:16" x14ac:dyDescent="0.3">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6">
        <f>INDEX(products!$A$1:$G$49,MATCH(orders!$D197,products!$A$1:$A$49,0),MATCH(orders!K$1,products!$A$1:$G$1,0))</f>
        <v>1</v>
      </c>
      <c r="L197" s="5">
        <f>INDEX(products!$A$1:$G$49,MATCH(orders!$D197,products!$A$1:$A$49,0),MATCH(orders!L$1,products!$A$1:$G$1,0))</f>
        <v>12.95</v>
      </c>
      <c r="M197" s="4">
        <f t="shared" si="9"/>
        <v>38.849999999999994</v>
      </c>
      <c r="N197" t="str">
        <f t="shared" si="10"/>
        <v>Arabica</v>
      </c>
      <c r="O197" t="str">
        <f t="shared" si="11"/>
        <v>Light</v>
      </c>
      <c r="P197" t="str">
        <f>_xlfn.XLOOKUP(Table1[[#This Row],[Customer ID]],customers!$A$1:$A$1001,customers!$I$1:$I$1001,,0)</f>
        <v>No</v>
      </c>
    </row>
    <row r="198" spans="1:16" x14ac:dyDescent="0.3">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6">
        <f>INDEX(products!$A$1:$G$49,MATCH(orders!$D198,products!$A$1:$A$49,0),MATCH(orders!K$1,products!$A$1:$G$1,0))</f>
        <v>0.5</v>
      </c>
      <c r="L198" s="5">
        <f>INDEX(products!$A$1:$G$49,MATCH(orders!$D198,products!$A$1:$A$49,0),MATCH(orders!L$1,products!$A$1:$G$1,0))</f>
        <v>8.91</v>
      </c>
      <c r="M198" s="4">
        <f t="shared" si="9"/>
        <v>53.46</v>
      </c>
      <c r="N198" t="str">
        <f t="shared" si="10"/>
        <v>Excelsa</v>
      </c>
      <c r="O198" t="str">
        <f t="shared" si="11"/>
        <v>Light</v>
      </c>
      <c r="P198" t="str">
        <f>_xlfn.XLOOKUP(Table1[[#This Row],[Customer ID]],customers!$A$1:$A$1001,customers!$I$1:$I$1001,,0)</f>
        <v>No</v>
      </c>
    </row>
    <row r="199" spans="1:16" x14ac:dyDescent="0.3">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6">
        <f>INDEX(products!$A$1:$G$49,MATCH(orders!$D199,products!$A$1:$A$49,0),MATCH(orders!K$1,products!$A$1:$G$1,0))</f>
        <v>2.5</v>
      </c>
      <c r="L199" s="5">
        <f>INDEX(products!$A$1:$G$49,MATCH(orders!$D199,products!$A$1:$A$49,0),MATCH(orders!L$1,products!$A$1:$G$1,0))</f>
        <v>29.784999999999997</v>
      </c>
      <c r="M199" s="4">
        <f t="shared" si="9"/>
        <v>59.569999999999993</v>
      </c>
      <c r="N199" t="str">
        <f t="shared" si="10"/>
        <v>Librica</v>
      </c>
      <c r="O199" t="str">
        <f t="shared" si="11"/>
        <v>Dark</v>
      </c>
      <c r="P199" t="str">
        <f>_xlfn.XLOOKUP(Table1[[#This Row],[Customer ID]],customers!$A$1:$A$1001,customers!$I$1:$I$1001,,0)</f>
        <v>No</v>
      </c>
    </row>
    <row r="200" spans="1:16" x14ac:dyDescent="0.3">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6">
        <f>INDEX(products!$A$1:$G$49,MATCH(orders!$D200,products!$A$1:$A$49,0),MATCH(orders!K$1,products!$A$1:$G$1,0))</f>
        <v>2.5</v>
      </c>
      <c r="L200" s="5">
        <f>INDEX(products!$A$1:$G$49,MATCH(orders!$D200,products!$A$1:$A$49,0),MATCH(orders!L$1,products!$A$1:$G$1,0))</f>
        <v>29.784999999999997</v>
      </c>
      <c r="M200" s="4">
        <f t="shared" si="9"/>
        <v>89.35499999999999</v>
      </c>
      <c r="N200" t="str">
        <f t="shared" si="10"/>
        <v>Librica</v>
      </c>
      <c r="O200" t="str">
        <f t="shared" si="11"/>
        <v>Dark</v>
      </c>
      <c r="P200" t="str">
        <f>_xlfn.XLOOKUP(Table1[[#This Row],[Customer ID]],customers!$A$1:$A$1001,customers!$I$1:$I$1001,,0)</f>
        <v>No</v>
      </c>
    </row>
    <row r="201" spans="1:16" x14ac:dyDescent="0.3">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6">
        <f>INDEX(products!$A$1:$G$49,MATCH(orders!$D201,products!$A$1:$A$49,0),MATCH(orders!K$1,products!$A$1:$G$1,0))</f>
        <v>0.5</v>
      </c>
      <c r="L201" s="5">
        <f>INDEX(products!$A$1:$G$49,MATCH(orders!$D201,products!$A$1:$A$49,0),MATCH(orders!L$1,products!$A$1:$G$1,0))</f>
        <v>9.51</v>
      </c>
      <c r="M201" s="4">
        <f t="shared" si="9"/>
        <v>38.04</v>
      </c>
      <c r="N201" t="str">
        <f t="shared" si="10"/>
        <v>Librica</v>
      </c>
      <c r="O201" t="str">
        <f t="shared" si="11"/>
        <v>Light</v>
      </c>
      <c r="P201" t="str">
        <f>_xlfn.XLOOKUP(Table1[[#This Row],[Customer ID]],customers!$A$1:$A$1001,customers!$I$1:$I$1001,,0)</f>
        <v>No</v>
      </c>
    </row>
    <row r="202" spans="1:16" x14ac:dyDescent="0.3">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6">
        <f>INDEX(products!$A$1:$G$49,MATCH(orders!$D202,products!$A$1:$A$49,0),MATCH(orders!K$1,products!$A$1:$G$1,0))</f>
        <v>1</v>
      </c>
      <c r="L202" s="5">
        <f>INDEX(products!$A$1:$G$49,MATCH(orders!$D202,products!$A$1:$A$49,0),MATCH(orders!L$1,products!$A$1:$G$1,0))</f>
        <v>13.75</v>
      </c>
      <c r="M202" s="4">
        <f t="shared" si="9"/>
        <v>41.25</v>
      </c>
      <c r="N202" t="str">
        <f t="shared" si="10"/>
        <v>Excelsa</v>
      </c>
      <c r="O202" t="str">
        <f t="shared" si="11"/>
        <v>Medium</v>
      </c>
      <c r="P202" t="str">
        <f>_xlfn.XLOOKUP(Table1[[#This Row],[Customer ID]],customers!$A$1:$A$1001,customers!$I$1:$I$1001,,0)</f>
        <v>No</v>
      </c>
    </row>
    <row r="203" spans="1:16" x14ac:dyDescent="0.3">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6">
        <f>INDEX(products!$A$1:$G$49,MATCH(orders!$D203,products!$A$1:$A$49,0),MATCH(orders!K$1,products!$A$1:$G$1,0))</f>
        <v>0.5</v>
      </c>
      <c r="L203" s="5">
        <f>INDEX(products!$A$1:$G$49,MATCH(orders!$D203,products!$A$1:$A$49,0),MATCH(orders!L$1,products!$A$1:$G$1,0))</f>
        <v>9.51</v>
      </c>
      <c r="M203" s="4">
        <f t="shared" si="9"/>
        <v>57.06</v>
      </c>
      <c r="N203" t="str">
        <f t="shared" si="10"/>
        <v>Librica</v>
      </c>
      <c r="O203" t="str">
        <f t="shared" si="11"/>
        <v>Light</v>
      </c>
      <c r="P203" t="str">
        <f>_xlfn.XLOOKUP(Table1[[#This Row],[Customer ID]],customers!$A$1:$A$1001,customers!$I$1:$I$1001,,0)</f>
        <v>No</v>
      </c>
    </row>
    <row r="204" spans="1:16" x14ac:dyDescent="0.3">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6">
        <f>INDEX(products!$A$1:$G$49,MATCH(orders!$D204,products!$A$1:$A$49,0),MATCH(orders!K$1,products!$A$1:$G$1,0))</f>
        <v>2.5</v>
      </c>
      <c r="L204" s="5">
        <f>INDEX(products!$A$1:$G$49,MATCH(orders!$D204,products!$A$1:$A$49,0),MATCH(orders!L$1,products!$A$1:$G$1,0))</f>
        <v>29.784999999999997</v>
      </c>
      <c r="M204" s="4">
        <f t="shared" si="9"/>
        <v>178.70999999999998</v>
      </c>
      <c r="N204" t="str">
        <f t="shared" si="10"/>
        <v>Librica</v>
      </c>
      <c r="O204" t="str">
        <f t="shared" si="11"/>
        <v>Dark</v>
      </c>
      <c r="P204" t="str">
        <f>_xlfn.XLOOKUP(Table1[[#This Row],[Customer ID]],customers!$A$1:$A$1001,customers!$I$1:$I$1001,,0)</f>
        <v>Yes</v>
      </c>
    </row>
    <row r="205" spans="1:16" x14ac:dyDescent="0.3">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6">
        <f>INDEX(products!$A$1:$G$49,MATCH(orders!$D205,products!$A$1:$A$49,0),MATCH(orders!K$1,products!$A$1:$G$1,0))</f>
        <v>0.2</v>
      </c>
      <c r="L205" s="5">
        <f>INDEX(products!$A$1:$G$49,MATCH(orders!$D205,products!$A$1:$A$49,0),MATCH(orders!L$1,products!$A$1:$G$1,0))</f>
        <v>4.7549999999999999</v>
      </c>
      <c r="M205" s="4">
        <f t="shared" si="9"/>
        <v>4.7549999999999999</v>
      </c>
      <c r="N205" t="str">
        <f t="shared" si="10"/>
        <v>Librica</v>
      </c>
      <c r="O205" t="str">
        <f t="shared" si="11"/>
        <v>Light</v>
      </c>
      <c r="P205" t="str">
        <f>_xlfn.XLOOKUP(Table1[[#This Row],[Customer ID]],customers!$A$1:$A$1001,customers!$I$1:$I$1001,,0)</f>
        <v>No</v>
      </c>
    </row>
    <row r="206" spans="1:16" x14ac:dyDescent="0.3">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6">
        <f>INDEX(products!$A$1:$G$49,MATCH(orders!$D206,products!$A$1:$A$49,0),MATCH(orders!K$1,products!$A$1:$G$1,0))</f>
        <v>1</v>
      </c>
      <c r="L206" s="5">
        <f>INDEX(products!$A$1:$G$49,MATCH(orders!$D206,products!$A$1:$A$49,0),MATCH(orders!L$1,products!$A$1:$G$1,0))</f>
        <v>13.75</v>
      </c>
      <c r="M206" s="4">
        <f t="shared" si="9"/>
        <v>82.5</v>
      </c>
      <c r="N206" t="str">
        <f t="shared" si="10"/>
        <v>Excelsa</v>
      </c>
      <c r="O206" t="str">
        <f t="shared" si="11"/>
        <v>Medium</v>
      </c>
      <c r="P206" t="str">
        <f>_xlfn.XLOOKUP(Table1[[#This Row],[Customer ID]],customers!$A$1:$A$1001,customers!$I$1:$I$1001,,0)</f>
        <v>No</v>
      </c>
    </row>
    <row r="207" spans="1:16" x14ac:dyDescent="0.3">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6">
        <f>INDEX(products!$A$1:$G$49,MATCH(orders!$D207,products!$A$1:$A$49,0),MATCH(orders!K$1,products!$A$1:$G$1,0))</f>
        <v>0.2</v>
      </c>
      <c r="L207" s="5">
        <f>INDEX(products!$A$1:$G$49,MATCH(orders!$D207,products!$A$1:$A$49,0),MATCH(orders!L$1,products!$A$1:$G$1,0))</f>
        <v>2.6849999999999996</v>
      </c>
      <c r="M207" s="4">
        <f t="shared" si="9"/>
        <v>8.0549999999999997</v>
      </c>
      <c r="N207" t="str">
        <f t="shared" si="10"/>
        <v>Robusta</v>
      </c>
      <c r="O207" t="str">
        <f t="shared" si="11"/>
        <v>Dark</v>
      </c>
      <c r="P207" t="str">
        <f>_xlfn.XLOOKUP(Table1[[#This Row],[Customer ID]],customers!$A$1:$A$1001,customers!$I$1:$I$1001,,0)</f>
        <v>Yes</v>
      </c>
    </row>
    <row r="208" spans="1:16" x14ac:dyDescent="0.3">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6">
        <f>INDEX(products!$A$1:$G$49,MATCH(orders!$D208,products!$A$1:$A$49,0),MATCH(orders!K$1,products!$A$1:$G$1,0))</f>
        <v>1</v>
      </c>
      <c r="L208" s="5">
        <f>INDEX(products!$A$1:$G$49,MATCH(orders!$D208,products!$A$1:$A$49,0),MATCH(orders!L$1,products!$A$1:$G$1,0))</f>
        <v>11.25</v>
      </c>
      <c r="M208" s="4">
        <f t="shared" si="9"/>
        <v>22.5</v>
      </c>
      <c r="N208" t="str">
        <f t="shared" si="10"/>
        <v>Arabica</v>
      </c>
      <c r="O208" t="str">
        <f t="shared" si="11"/>
        <v>Medium</v>
      </c>
      <c r="P208" t="str">
        <f>_xlfn.XLOOKUP(Table1[[#This Row],[Customer ID]],customers!$A$1:$A$1001,customers!$I$1:$I$1001,,0)</f>
        <v>No</v>
      </c>
    </row>
    <row r="209" spans="1:16" x14ac:dyDescent="0.3">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6">
        <f>INDEX(products!$A$1:$G$49,MATCH(orders!$D209,products!$A$1:$A$49,0),MATCH(orders!K$1,products!$A$1:$G$1,0))</f>
        <v>0.5</v>
      </c>
      <c r="L209" s="5">
        <f>INDEX(products!$A$1:$G$49,MATCH(orders!$D209,products!$A$1:$A$49,0),MATCH(orders!L$1,products!$A$1:$G$1,0))</f>
        <v>6.75</v>
      </c>
      <c r="M209" s="4">
        <f t="shared" si="9"/>
        <v>40.5</v>
      </c>
      <c r="N209" t="str">
        <f t="shared" si="10"/>
        <v>Arabica</v>
      </c>
      <c r="O209" t="str">
        <f t="shared" si="11"/>
        <v>Medium</v>
      </c>
      <c r="P209" t="str">
        <f>_xlfn.XLOOKUP(Table1[[#This Row],[Customer ID]],customers!$A$1:$A$1001,customers!$I$1:$I$1001,,0)</f>
        <v>Yes</v>
      </c>
    </row>
    <row r="210" spans="1:16" x14ac:dyDescent="0.3">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6">
        <f>INDEX(products!$A$1:$G$49,MATCH(orders!$D210,products!$A$1:$A$49,0),MATCH(orders!K$1,products!$A$1:$G$1,0))</f>
        <v>0.5</v>
      </c>
      <c r="L210" s="5">
        <f>INDEX(products!$A$1:$G$49,MATCH(orders!$D210,products!$A$1:$A$49,0),MATCH(orders!L$1,products!$A$1:$G$1,0))</f>
        <v>7.29</v>
      </c>
      <c r="M210" s="4">
        <f t="shared" si="9"/>
        <v>29.16</v>
      </c>
      <c r="N210" t="str">
        <f t="shared" si="10"/>
        <v>Excelsa</v>
      </c>
      <c r="O210" t="str">
        <f t="shared" si="11"/>
        <v>Dark</v>
      </c>
      <c r="P210" t="str">
        <f>_xlfn.XLOOKUP(Table1[[#This Row],[Customer ID]],customers!$A$1:$A$1001,customers!$I$1:$I$1001,,0)</f>
        <v>Yes</v>
      </c>
    </row>
    <row r="211" spans="1:16" x14ac:dyDescent="0.3">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6">
        <f>INDEX(products!$A$1:$G$49,MATCH(orders!$D211,products!$A$1:$A$49,0),MATCH(orders!K$1,products!$A$1:$G$1,0))</f>
        <v>0.5</v>
      </c>
      <c r="L211" s="5">
        <f>INDEX(products!$A$1:$G$49,MATCH(orders!$D211,products!$A$1:$A$49,0),MATCH(orders!L$1,products!$A$1:$G$1,0))</f>
        <v>6.75</v>
      </c>
      <c r="M211" s="4">
        <f t="shared" si="9"/>
        <v>6.75</v>
      </c>
      <c r="N211" t="str">
        <f t="shared" si="10"/>
        <v>Arabica</v>
      </c>
      <c r="O211" t="str">
        <f t="shared" si="11"/>
        <v>Medium</v>
      </c>
      <c r="P211" t="str">
        <f>_xlfn.XLOOKUP(Table1[[#This Row],[Customer ID]],customers!$A$1:$A$1001,customers!$I$1:$I$1001,,0)</f>
        <v>No</v>
      </c>
    </row>
    <row r="212" spans="1:16" x14ac:dyDescent="0.3">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6">
        <f>INDEX(products!$A$1:$G$49,MATCH(orders!$D212,products!$A$1:$A$49,0),MATCH(orders!K$1,products!$A$1:$G$1,0))</f>
        <v>1</v>
      </c>
      <c r="L212" s="5">
        <f>INDEX(products!$A$1:$G$49,MATCH(orders!$D212,products!$A$1:$A$49,0),MATCH(orders!L$1,products!$A$1:$G$1,0))</f>
        <v>12.95</v>
      </c>
      <c r="M212" s="4">
        <f t="shared" si="9"/>
        <v>51.8</v>
      </c>
      <c r="N212" t="str">
        <f t="shared" si="10"/>
        <v>Librica</v>
      </c>
      <c r="O212" t="str">
        <f t="shared" si="11"/>
        <v>Dark</v>
      </c>
      <c r="P212" t="str">
        <f>_xlfn.XLOOKUP(Table1[[#This Row],[Customer ID]],customers!$A$1:$A$1001,customers!$I$1:$I$1001,,0)</f>
        <v>Yes</v>
      </c>
    </row>
    <row r="213" spans="1:16" x14ac:dyDescent="0.3">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6">
        <f>INDEX(products!$A$1:$G$49,MATCH(orders!$D213,products!$A$1:$A$49,0),MATCH(orders!K$1,products!$A$1:$G$1,0))</f>
        <v>0.5</v>
      </c>
      <c r="L213" s="5">
        <f>INDEX(products!$A$1:$G$49,MATCH(orders!$D213,products!$A$1:$A$49,0),MATCH(orders!L$1,products!$A$1:$G$1,0))</f>
        <v>8.91</v>
      </c>
      <c r="M213" s="4">
        <f t="shared" si="9"/>
        <v>53.46</v>
      </c>
      <c r="N213" t="str">
        <f t="shared" si="10"/>
        <v>Excelsa</v>
      </c>
      <c r="O213" t="str">
        <f t="shared" si="11"/>
        <v>Light</v>
      </c>
      <c r="P213" t="str">
        <f>_xlfn.XLOOKUP(Table1[[#This Row],[Customer ID]],customers!$A$1:$A$1001,customers!$I$1:$I$1001,,0)</f>
        <v>No</v>
      </c>
    </row>
    <row r="214" spans="1:16" x14ac:dyDescent="0.3">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6">
        <f>INDEX(products!$A$1:$G$49,MATCH(orders!$D214,products!$A$1:$A$49,0),MATCH(orders!K$1,products!$A$1:$G$1,0))</f>
        <v>0.2</v>
      </c>
      <c r="L214" s="5">
        <f>INDEX(products!$A$1:$G$49,MATCH(orders!$D214,products!$A$1:$A$49,0),MATCH(orders!L$1,products!$A$1:$G$1,0))</f>
        <v>3.645</v>
      </c>
      <c r="M214" s="4">
        <f t="shared" si="9"/>
        <v>14.58</v>
      </c>
      <c r="N214" t="str">
        <f t="shared" si="10"/>
        <v>Excelsa</v>
      </c>
      <c r="O214" t="str">
        <f t="shared" si="11"/>
        <v>Dark</v>
      </c>
      <c r="P214" t="str">
        <f>_xlfn.XLOOKUP(Table1[[#This Row],[Customer ID]],customers!$A$1:$A$1001,customers!$I$1:$I$1001,,0)</f>
        <v>Yes</v>
      </c>
    </row>
    <row r="215" spans="1:16" x14ac:dyDescent="0.3">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6">
        <f>INDEX(products!$A$1:$G$49,MATCH(orders!$D215,products!$A$1:$A$49,0),MATCH(orders!K$1,products!$A$1:$G$1,0))</f>
        <v>2.5</v>
      </c>
      <c r="L215" s="5">
        <f>INDEX(products!$A$1:$G$49,MATCH(orders!$D215,products!$A$1:$A$49,0),MATCH(orders!L$1,products!$A$1:$G$1,0))</f>
        <v>20.584999999999997</v>
      </c>
      <c r="M215" s="4">
        <f t="shared" si="9"/>
        <v>20.584999999999997</v>
      </c>
      <c r="N215" t="str">
        <f t="shared" si="10"/>
        <v>Robusta</v>
      </c>
      <c r="O215" t="str">
        <f t="shared" si="11"/>
        <v>Dark</v>
      </c>
      <c r="P215" t="str">
        <f>_xlfn.XLOOKUP(Table1[[#This Row],[Customer ID]],customers!$A$1:$A$1001,customers!$I$1:$I$1001,,0)</f>
        <v>No</v>
      </c>
    </row>
    <row r="216" spans="1:16" x14ac:dyDescent="0.3">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6">
        <f>INDEX(products!$A$1:$G$49,MATCH(orders!$D216,products!$A$1:$A$49,0),MATCH(orders!K$1,products!$A$1:$G$1,0))</f>
        <v>1</v>
      </c>
      <c r="L216" s="5">
        <f>INDEX(products!$A$1:$G$49,MATCH(orders!$D216,products!$A$1:$A$49,0),MATCH(orders!L$1,products!$A$1:$G$1,0))</f>
        <v>15.85</v>
      </c>
      <c r="M216" s="4">
        <f t="shared" si="9"/>
        <v>31.7</v>
      </c>
      <c r="N216" t="str">
        <f t="shared" si="10"/>
        <v>Librica</v>
      </c>
      <c r="O216" t="str">
        <f t="shared" si="11"/>
        <v>Light</v>
      </c>
      <c r="P216" t="str">
        <f>_xlfn.XLOOKUP(Table1[[#This Row],[Customer ID]],customers!$A$1:$A$1001,customers!$I$1:$I$1001,,0)</f>
        <v>No</v>
      </c>
    </row>
    <row r="217" spans="1:16" x14ac:dyDescent="0.3">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6">
        <f>INDEX(products!$A$1:$G$49,MATCH(orders!$D217,products!$A$1:$A$49,0),MATCH(orders!K$1,products!$A$1:$G$1,0))</f>
        <v>0.2</v>
      </c>
      <c r="L217" s="5">
        <f>INDEX(products!$A$1:$G$49,MATCH(orders!$D217,products!$A$1:$A$49,0),MATCH(orders!L$1,products!$A$1:$G$1,0))</f>
        <v>3.8849999999999998</v>
      </c>
      <c r="M217" s="4">
        <f t="shared" si="9"/>
        <v>23.31</v>
      </c>
      <c r="N217" t="str">
        <f t="shared" si="10"/>
        <v>Librica</v>
      </c>
      <c r="O217" t="str">
        <f t="shared" si="11"/>
        <v>Dark</v>
      </c>
      <c r="P217" t="str">
        <f>_xlfn.XLOOKUP(Table1[[#This Row],[Customer ID]],customers!$A$1:$A$1001,customers!$I$1:$I$1001,,0)</f>
        <v>No</v>
      </c>
    </row>
    <row r="218" spans="1:16" x14ac:dyDescent="0.3">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6">
        <f>INDEX(products!$A$1:$G$49,MATCH(orders!$D218,products!$A$1:$A$49,0),MATCH(orders!K$1,products!$A$1:$G$1,0))</f>
        <v>1</v>
      </c>
      <c r="L218" s="5">
        <f>INDEX(products!$A$1:$G$49,MATCH(orders!$D218,products!$A$1:$A$49,0),MATCH(orders!L$1,products!$A$1:$G$1,0))</f>
        <v>14.55</v>
      </c>
      <c r="M218" s="4">
        <f t="shared" si="9"/>
        <v>58.2</v>
      </c>
      <c r="N218" t="str">
        <f t="shared" si="10"/>
        <v>Librica</v>
      </c>
      <c r="O218" t="str">
        <f t="shared" si="11"/>
        <v>Medium</v>
      </c>
      <c r="P218" t="str">
        <f>_xlfn.XLOOKUP(Table1[[#This Row],[Customer ID]],customers!$A$1:$A$1001,customers!$I$1:$I$1001,,0)</f>
        <v>Yes</v>
      </c>
    </row>
    <row r="219" spans="1:16" x14ac:dyDescent="0.3">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6">
        <f>INDEX(products!$A$1:$G$49,MATCH(orders!$D219,products!$A$1:$A$49,0),MATCH(orders!K$1,products!$A$1:$G$1,0))</f>
        <v>0.5</v>
      </c>
      <c r="L219" s="5">
        <f>INDEX(products!$A$1:$G$49,MATCH(orders!$D219,products!$A$1:$A$49,0),MATCH(orders!L$1,products!$A$1:$G$1,0))</f>
        <v>8.91</v>
      </c>
      <c r="M219" s="4">
        <f t="shared" si="9"/>
        <v>35.64</v>
      </c>
      <c r="N219" t="str">
        <f t="shared" si="10"/>
        <v>Excelsa</v>
      </c>
      <c r="O219" t="str">
        <f t="shared" si="11"/>
        <v>Light</v>
      </c>
      <c r="P219" t="str">
        <f>_xlfn.XLOOKUP(Table1[[#This Row],[Customer ID]],customers!$A$1:$A$1001,customers!$I$1:$I$1001,,0)</f>
        <v>No</v>
      </c>
    </row>
    <row r="220" spans="1:16" x14ac:dyDescent="0.3">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6">
        <f>INDEX(products!$A$1:$G$49,MATCH(orders!$D220,products!$A$1:$A$49,0),MATCH(orders!K$1,products!$A$1:$G$1,0))</f>
        <v>1</v>
      </c>
      <c r="L220" s="5">
        <f>INDEX(products!$A$1:$G$49,MATCH(orders!$D220,products!$A$1:$A$49,0),MATCH(orders!L$1,products!$A$1:$G$1,0))</f>
        <v>11.25</v>
      </c>
      <c r="M220" s="4">
        <f t="shared" si="9"/>
        <v>56.25</v>
      </c>
      <c r="N220" t="str">
        <f t="shared" si="10"/>
        <v>Arabica</v>
      </c>
      <c r="O220" t="str">
        <f t="shared" si="11"/>
        <v>Medium</v>
      </c>
      <c r="P220" t="str">
        <f>_xlfn.XLOOKUP(Table1[[#This Row],[Customer ID]],customers!$A$1:$A$1001,customers!$I$1:$I$1001,,0)</f>
        <v>Yes</v>
      </c>
    </row>
    <row r="221" spans="1:16" x14ac:dyDescent="0.3">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6">
        <f>INDEX(products!$A$1:$G$49,MATCH(orders!$D221,products!$A$1:$A$49,0),MATCH(orders!K$1,products!$A$1:$G$1,0))</f>
        <v>0.2</v>
      </c>
      <c r="L221" s="5">
        <f>INDEX(products!$A$1:$G$49,MATCH(orders!$D221,products!$A$1:$A$49,0),MATCH(orders!L$1,products!$A$1:$G$1,0))</f>
        <v>3.5849999999999995</v>
      </c>
      <c r="M221" s="4">
        <f t="shared" si="9"/>
        <v>10.754999999999999</v>
      </c>
      <c r="N221" t="str">
        <f t="shared" si="10"/>
        <v>Robusta</v>
      </c>
      <c r="O221" t="str">
        <f t="shared" si="11"/>
        <v>Light</v>
      </c>
      <c r="P221" t="str">
        <f>_xlfn.XLOOKUP(Table1[[#This Row],[Customer ID]],customers!$A$1:$A$1001,customers!$I$1:$I$1001,,0)</f>
        <v>No</v>
      </c>
    </row>
    <row r="222" spans="1:16" x14ac:dyDescent="0.3">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6">
        <f>INDEX(products!$A$1:$G$49,MATCH(orders!$D222,products!$A$1:$A$49,0),MATCH(orders!K$1,products!$A$1:$G$1,0))</f>
        <v>0.2</v>
      </c>
      <c r="L222" s="5">
        <f>INDEX(products!$A$1:$G$49,MATCH(orders!$D222,products!$A$1:$A$49,0),MATCH(orders!L$1,products!$A$1:$G$1,0))</f>
        <v>2.9849999999999999</v>
      </c>
      <c r="M222" s="4">
        <f t="shared" si="9"/>
        <v>14.924999999999999</v>
      </c>
      <c r="N222" t="str">
        <f t="shared" si="10"/>
        <v>Robusta</v>
      </c>
      <c r="O222" t="str">
        <f t="shared" si="11"/>
        <v>Medium</v>
      </c>
      <c r="P222" t="str">
        <f>_xlfn.XLOOKUP(Table1[[#This Row],[Customer ID]],customers!$A$1:$A$1001,customers!$I$1:$I$1001,,0)</f>
        <v>No</v>
      </c>
    </row>
    <row r="223" spans="1:16" x14ac:dyDescent="0.3">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6">
        <f>INDEX(products!$A$1:$G$49,MATCH(orders!$D223,products!$A$1:$A$49,0),MATCH(orders!K$1,products!$A$1:$G$1,0))</f>
        <v>1</v>
      </c>
      <c r="L223" s="5">
        <f>INDEX(products!$A$1:$G$49,MATCH(orders!$D223,products!$A$1:$A$49,0),MATCH(orders!L$1,products!$A$1:$G$1,0))</f>
        <v>12.95</v>
      </c>
      <c r="M223" s="4">
        <f t="shared" si="9"/>
        <v>77.699999999999989</v>
      </c>
      <c r="N223" t="str">
        <f t="shared" si="10"/>
        <v>Arabica</v>
      </c>
      <c r="O223" t="str">
        <f t="shared" si="11"/>
        <v>Light</v>
      </c>
      <c r="P223" t="str">
        <f>_xlfn.XLOOKUP(Table1[[#This Row],[Customer ID]],customers!$A$1:$A$1001,customers!$I$1:$I$1001,,0)</f>
        <v>Yes</v>
      </c>
    </row>
    <row r="224" spans="1:16" x14ac:dyDescent="0.3">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6">
        <f>INDEX(products!$A$1:$G$49,MATCH(orders!$D224,products!$A$1:$A$49,0),MATCH(orders!K$1,products!$A$1:$G$1,0))</f>
        <v>0.5</v>
      </c>
      <c r="L224" s="5">
        <f>INDEX(products!$A$1:$G$49,MATCH(orders!$D224,products!$A$1:$A$49,0),MATCH(orders!L$1,products!$A$1:$G$1,0))</f>
        <v>7.77</v>
      </c>
      <c r="M224" s="4">
        <f t="shared" si="9"/>
        <v>23.31</v>
      </c>
      <c r="N224" t="str">
        <f t="shared" si="10"/>
        <v>Librica</v>
      </c>
      <c r="O224" t="str">
        <f t="shared" si="11"/>
        <v>Dark</v>
      </c>
      <c r="P224" t="str">
        <f>_xlfn.XLOOKUP(Table1[[#This Row],[Customer ID]],customers!$A$1:$A$1001,customers!$I$1:$I$1001,,0)</f>
        <v>No</v>
      </c>
    </row>
    <row r="225" spans="1:16" x14ac:dyDescent="0.3">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6">
        <f>INDEX(products!$A$1:$G$49,MATCH(orders!$D225,products!$A$1:$A$49,0),MATCH(orders!K$1,products!$A$1:$G$1,0))</f>
        <v>1</v>
      </c>
      <c r="L225" s="5">
        <f>INDEX(products!$A$1:$G$49,MATCH(orders!$D225,products!$A$1:$A$49,0),MATCH(orders!L$1,products!$A$1:$G$1,0))</f>
        <v>14.85</v>
      </c>
      <c r="M225" s="4">
        <f t="shared" si="9"/>
        <v>59.4</v>
      </c>
      <c r="N225" t="str">
        <f t="shared" si="10"/>
        <v>Excelsa</v>
      </c>
      <c r="O225" t="str">
        <f t="shared" si="11"/>
        <v>Light</v>
      </c>
      <c r="P225" t="str">
        <f>_xlfn.XLOOKUP(Table1[[#This Row],[Customer ID]],customers!$A$1:$A$1001,customers!$I$1:$I$1001,,0)</f>
        <v>Yes</v>
      </c>
    </row>
    <row r="226" spans="1:16" x14ac:dyDescent="0.3">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6">
        <f>INDEX(products!$A$1:$G$49,MATCH(orders!$D226,products!$A$1:$A$49,0),MATCH(orders!K$1,products!$A$1:$G$1,0))</f>
        <v>2.5</v>
      </c>
      <c r="L226" s="5">
        <f>INDEX(products!$A$1:$G$49,MATCH(orders!$D226,products!$A$1:$A$49,0),MATCH(orders!L$1,products!$A$1:$G$1,0))</f>
        <v>29.784999999999997</v>
      </c>
      <c r="M226" s="4">
        <f t="shared" si="9"/>
        <v>119.13999999999999</v>
      </c>
      <c r="N226" t="str">
        <f t="shared" si="10"/>
        <v>Librica</v>
      </c>
      <c r="O226" t="str">
        <f t="shared" si="11"/>
        <v>Dark</v>
      </c>
      <c r="P226" t="str">
        <f>_xlfn.XLOOKUP(Table1[[#This Row],[Customer ID]],customers!$A$1:$A$1001,customers!$I$1:$I$1001,,0)</f>
        <v>Yes</v>
      </c>
    </row>
    <row r="227" spans="1:16" x14ac:dyDescent="0.3">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6">
        <f>INDEX(products!$A$1:$G$49,MATCH(orders!$D227,products!$A$1:$A$49,0),MATCH(orders!K$1,products!$A$1:$G$1,0))</f>
        <v>0.2</v>
      </c>
      <c r="L227" s="5">
        <f>INDEX(products!$A$1:$G$49,MATCH(orders!$D227,products!$A$1:$A$49,0),MATCH(orders!L$1,products!$A$1:$G$1,0))</f>
        <v>3.5849999999999995</v>
      </c>
      <c r="M227" s="4">
        <f t="shared" si="9"/>
        <v>14.339999999999998</v>
      </c>
      <c r="N227" t="str">
        <f t="shared" si="10"/>
        <v>Robusta</v>
      </c>
      <c r="O227" t="str">
        <f t="shared" si="11"/>
        <v>Light</v>
      </c>
      <c r="P227" t="str">
        <f>_xlfn.XLOOKUP(Table1[[#This Row],[Customer ID]],customers!$A$1:$A$1001,customers!$I$1:$I$1001,,0)</f>
        <v>No</v>
      </c>
    </row>
    <row r="228" spans="1:16" x14ac:dyDescent="0.3">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6">
        <f>INDEX(products!$A$1:$G$49,MATCH(orders!$D228,products!$A$1:$A$49,0),MATCH(orders!K$1,products!$A$1:$G$1,0))</f>
        <v>2.5</v>
      </c>
      <c r="L228" s="5">
        <f>INDEX(products!$A$1:$G$49,MATCH(orders!$D228,products!$A$1:$A$49,0),MATCH(orders!L$1,products!$A$1:$G$1,0))</f>
        <v>25.874999999999996</v>
      </c>
      <c r="M228" s="4">
        <f t="shared" si="9"/>
        <v>129.37499999999997</v>
      </c>
      <c r="N228" t="str">
        <f t="shared" si="10"/>
        <v>Arabica</v>
      </c>
      <c r="O228" t="str">
        <f t="shared" si="11"/>
        <v>Medium</v>
      </c>
      <c r="P228" t="str">
        <f>_xlfn.XLOOKUP(Table1[[#This Row],[Customer ID]],customers!$A$1:$A$1001,customers!$I$1:$I$1001,,0)</f>
        <v>No</v>
      </c>
    </row>
    <row r="229" spans="1:16" x14ac:dyDescent="0.3">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6">
        <f>INDEX(products!$A$1:$G$49,MATCH(orders!$D229,products!$A$1:$A$49,0),MATCH(orders!K$1,products!$A$1:$G$1,0))</f>
        <v>0.2</v>
      </c>
      <c r="L229" s="5">
        <f>INDEX(products!$A$1:$G$49,MATCH(orders!$D229,products!$A$1:$A$49,0),MATCH(orders!L$1,products!$A$1:$G$1,0))</f>
        <v>2.6849999999999996</v>
      </c>
      <c r="M229" s="4">
        <f t="shared" si="9"/>
        <v>16.11</v>
      </c>
      <c r="N229" t="str">
        <f t="shared" si="10"/>
        <v>Robusta</v>
      </c>
      <c r="O229" t="str">
        <f t="shared" si="11"/>
        <v>Dark</v>
      </c>
      <c r="P229" t="str">
        <f>_xlfn.XLOOKUP(Table1[[#This Row],[Customer ID]],customers!$A$1:$A$1001,customers!$I$1:$I$1001,,0)</f>
        <v>Yes</v>
      </c>
    </row>
    <row r="230" spans="1:16" x14ac:dyDescent="0.3">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6">
        <f>INDEX(products!$A$1:$G$49,MATCH(orders!$D230,products!$A$1:$A$49,0),MATCH(orders!K$1,products!$A$1:$G$1,0))</f>
        <v>0.2</v>
      </c>
      <c r="L230" s="5">
        <f>INDEX(products!$A$1:$G$49,MATCH(orders!$D230,products!$A$1:$A$49,0),MATCH(orders!L$1,products!$A$1:$G$1,0))</f>
        <v>3.5849999999999995</v>
      </c>
      <c r="M230" s="4">
        <f t="shared" si="9"/>
        <v>17.924999999999997</v>
      </c>
      <c r="N230" t="str">
        <f t="shared" si="10"/>
        <v>Robusta</v>
      </c>
      <c r="O230" t="str">
        <f t="shared" si="11"/>
        <v>Light</v>
      </c>
      <c r="P230" t="str">
        <f>_xlfn.XLOOKUP(Table1[[#This Row],[Customer ID]],customers!$A$1:$A$1001,customers!$I$1:$I$1001,,0)</f>
        <v>No</v>
      </c>
    </row>
    <row r="231" spans="1:16" x14ac:dyDescent="0.3">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6">
        <f>INDEX(products!$A$1:$G$49,MATCH(orders!$D231,products!$A$1:$A$49,0),MATCH(orders!K$1,products!$A$1:$G$1,0))</f>
        <v>0.2</v>
      </c>
      <c r="L231" s="5">
        <f>INDEX(products!$A$1:$G$49,MATCH(orders!$D231,products!$A$1:$A$49,0),MATCH(orders!L$1,products!$A$1:$G$1,0))</f>
        <v>4.3650000000000002</v>
      </c>
      <c r="M231" s="4">
        <f t="shared" si="9"/>
        <v>8.73</v>
      </c>
      <c r="N231" t="str">
        <f t="shared" si="10"/>
        <v>Librica</v>
      </c>
      <c r="O231" t="str">
        <f t="shared" si="11"/>
        <v>Medium</v>
      </c>
      <c r="P231" t="str">
        <f>_xlfn.XLOOKUP(Table1[[#This Row],[Customer ID]],customers!$A$1:$A$1001,customers!$I$1:$I$1001,,0)</f>
        <v>No</v>
      </c>
    </row>
    <row r="232" spans="1:16" x14ac:dyDescent="0.3">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6">
        <f>INDEX(products!$A$1:$G$49,MATCH(orders!$D232,products!$A$1:$A$49,0),MATCH(orders!K$1,products!$A$1:$G$1,0))</f>
        <v>2.5</v>
      </c>
      <c r="L232" s="5">
        <f>INDEX(products!$A$1:$G$49,MATCH(orders!$D232,products!$A$1:$A$49,0),MATCH(orders!L$1,products!$A$1:$G$1,0))</f>
        <v>25.874999999999996</v>
      </c>
      <c r="M232" s="4">
        <f t="shared" si="9"/>
        <v>51.749999999999993</v>
      </c>
      <c r="N232" t="str">
        <f t="shared" si="10"/>
        <v>Arabica</v>
      </c>
      <c r="O232" t="str">
        <f t="shared" si="11"/>
        <v>Medium</v>
      </c>
      <c r="P232" t="str">
        <f>_xlfn.XLOOKUP(Table1[[#This Row],[Customer ID]],customers!$A$1:$A$1001,customers!$I$1:$I$1001,,0)</f>
        <v>No</v>
      </c>
    </row>
    <row r="233" spans="1:16" x14ac:dyDescent="0.3">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6">
        <f>INDEX(products!$A$1:$G$49,MATCH(orders!$D233,products!$A$1:$A$49,0),MATCH(orders!K$1,products!$A$1:$G$1,0))</f>
        <v>0.2</v>
      </c>
      <c r="L233" s="5">
        <f>INDEX(products!$A$1:$G$49,MATCH(orders!$D233,products!$A$1:$A$49,0),MATCH(orders!L$1,products!$A$1:$G$1,0))</f>
        <v>4.3650000000000002</v>
      </c>
      <c r="M233" s="4">
        <f t="shared" si="9"/>
        <v>8.73</v>
      </c>
      <c r="N233" t="str">
        <f t="shared" si="10"/>
        <v>Librica</v>
      </c>
      <c r="O233" t="str">
        <f t="shared" si="11"/>
        <v>Medium</v>
      </c>
      <c r="P233" t="str">
        <f>_xlfn.XLOOKUP(Table1[[#This Row],[Customer ID]],customers!$A$1:$A$1001,customers!$I$1:$I$1001,,0)</f>
        <v>Yes</v>
      </c>
    </row>
    <row r="234" spans="1:16" x14ac:dyDescent="0.3">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6">
        <f>INDEX(products!$A$1:$G$49,MATCH(orders!$D234,products!$A$1:$A$49,0),MATCH(orders!K$1,products!$A$1:$G$1,0))</f>
        <v>0.2</v>
      </c>
      <c r="L234" s="5">
        <f>INDEX(products!$A$1:$G$49,MATCH(orders!$D234,products!$A$1:$A$49,0),MATCH(orders!L$1,products!$A$1:$G$1,0))</f>
        <v>4.7549999999999999</v>
      </c>
      <c r="M234" s="4">
        <f t="shared" si="9"/>
        <v>23.774999999999999</v>
      </c>
      <c r="N234" t="str">
        <f t="shared" si="10"/>
        <v>Librica</v>
      </c>
      <c r="O234" t="str">
        <f t="shared" si="11"/>
        <v>Light</v>
      </c>
      <c r="P234" t="str">
        <f>_xlfn.XLOOKUP(Table1[[#This Row],[Customer ID]],customers!$A$1:$A$1001,customers!$I$1:$I$1001,,0)</f>
        <v>No</v>
      </c>
    </row>
    <row r="235" spans="1:16" x14ac:dyDescent="0.3">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6">
        <f>INDEX(products!$A$1:$G$49,MATCH(orders!$D235,products!$A$1:$A$49,0),MATCH(orders!K$1,products!$A$1:$G$1,0))</f>
        <v>0.2</v>
      </c>
      <c r="L235" s="5">
        <f>INDEX(products!$A$1:$G$49,MATCH(orders!$D235,products!$A$1:$A$49,0),MATCH(orders!L$1,products!$A$1:$G$1,0))</f>
        <v>4.125</v>
      </c>
      <c r="M235" s="4">
        <f t="shared" si="9"/>
        <v>20.625</v>
      </c>
      <c r="N235" t="str">
        <f t="shared" si="10"/>
        <v>Excelsa</v>
      </c>
      <c r="O235" t="str">
        <f t="shared" si="11"/>
        <v>Medium</v>
      </c>
      <c r="P235" t="str">
        <f>_xlfn.XLOOKUP(Table1[[#This Row],[Customer ID]],customers!$A$1:$A$1001,customers!$I$1:$I$1001,,0)</f>
        <v>No</v>
      </c>
    </row>
    <row r="236" spans="1:16" x14ac:dyDescent="0.3">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6">
        <f>INDEX(products!$A$1:$G$49,MATCH(orders!$D236,products!$A$1:$A$49,0),MATCH(orders!K$1,products!$A$1:$G$1,0))</f>
        <v>2.5</v>
      </c>
      <c r="L236" s="5">
        <f>INDEX(products!$A$1:$G$49,MATCH(orders!$D236,products!$A$1:$A$49,0),MATCH(orders!L$1,products!$A$1:$G$1,0))</f>
        <v>36.454999999999998</v>
      </c>
      <c r="M236" s="4">
        <f t="shared" si="9"/>
        <v>36.454999999999998</v>
      </c>
      <c r="N236" t="str">
        <f t="shared" si="10"/>
        <v>Librica</v>
      </c>
      <c r="O236" t="str">
        <f t="shared" si="11"/>
        <v>Light</v>
      </c>
      <c r="P236" t="str">
        <f>_xlfn.XLOOKUP(Table1[[#This Row],[Customer ID]],customers!$A$1:$A$1001,customers!$I$1:$I$1001,,0)</f>
        <v>No</v>
      </c>
    </row>
    <row r="237" spans="1:16" x14ac:dyDescent="0.3">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6">
        <f>INDEX(products!$A$1:$G$49,MATCH(orders!$D237,products!$A$1:$A$49,0),MATCH(orders!K$1,products!$A$1:$G$1,0))</f>
        <v>2.5</v>
      </c>
      <c r="L237" s="5">
        <f>INDEX(products!$A$1:$G$49,MATCH(orders!$D237,products!$A$1:$A$49,0),MATCH(orders!L$1,products!$A$1:$G$1,0))</f>
        <v>36.454999999999998</v>
      </c>
      <c r="M237" s="4">
        <f t="shared" si="9"/>
        <v>182.27499999999998</v>
      </c>
      <c r="N237" t="str">
        <f t="shared" si="10"/>
        <v>Librica</v>
      </c>
      <c r="O237" t="str">
        <f t="shared" si="11"/>
        <v>Light</v>
      </c>
      <c r="P237" t="str">
        <f>_xlfn.XLOOKUP(Table1[[#This Row],[Customer ID]],customers!$A$1:$A$1001,customers!$I$1:$I$1001,,0)</f>
        <v>No</v>
      </c>
    </row>
    <row r="238" spans="1:16" x14ac:dyDescent="0.3">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6">
        <f>INDEX(products!$A$1:$G$49,MATCH(orders!$D238,products!$A$1:$A$49,0),MATCH(orders!K$1,products!$A$1:$G$1,0))</f>
        <v>2.5</v>
      </c>
      <c r="L238" s="5">
        <f>INDEX(products!$A$1:$G$49,MATCH(orders!$D238,products!$A$1:$A$49,0),MATCH(orders!L$1,products!$A$1:$G$1,0))</f>
        <v>29.784999999999997</v>
      </c>
      <c r="M238" s="4">
        <f t="shared" si="9"/>
        <v>89.35499999999999</v>
      </c>
      <c r="N238" t="str">
        <f t="shared" si="10"/>
        <v>Librica</v>
      </c>
      <c r="O238" t="str">
        <f t="shared" si="11"/>
        <v>Dark</v>
      </c>
      <c r="P238" t="str">
        <f>_xlfn.XLOOKUP(Table1[[#This Row],[Customer ID]],customers!$A$1:$A$1001,customers!$I$1:$I$1001,,0)</f>
        <v>No</v>
      </c>
    </row>
    <row r="239" spans="1:16" x14ac:dyDescent="0.3">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6">
        <f>INDEX(products!$A$1:$G$49,MATCH(orders!$D239,products!$A$1:$A$49,0),MATCH(orders!K$1,products!$A$1:$G$1,0))</f>
        <v>0.2</v>
      </c>
      <c r="L239" s="5">
        <f>INDEX(products!$A$1:$G$49,MATCH(orders!$D239,products!$A$1:$A$49,0),MATCH(orders!L$1,products!$A$1:$G$1,0))</f>
        <v>3.5849999999999995</v>
      </c>
      <c r="M239" s="4">
        <f t="shared" si="9"/>
        <v>3.5849999999999995</v>
      </c>
      <c r="N239" t="str">
        <f t="shared" si="10"/>
        <v>Robusta</v>
      </c>
      <c r="O239" t="str">
        <f t="shared" si="11"/>
        <v>Light</v>
      </c>
      <c r="P239" t="str">
        <f>_xlfn.XLOOKUP(Table1[[#This Row],[Customer ID]],customers!$A$1:$A$1001,customers!$I$1:$I$1001,,0)</f>
        <v>Yes</v>
      </c>
    </row>
    <row r="240" spans="1:16" x14ac:dyDescent="0.3">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6">
        <f>INDEX(products!$A$1:$G$49,MATCH(orders!$D240,products!$A$1:$A$49,0),MATCH(orders!K$1,products!$A$1:$G$1,0))</f>
        <v>2.5</v>
      </c>
      <c r="L240" s="5">
        <f>INDEX(products!$A$1:$G$49,MATCH(orders!$D240,products!$A$1:$A$49,0),MATCH(orders!L$1,products!$A$1:$G$1,0))</f>
        <v>22.884999999999998</v>
      </c>
      <c r="M240" s="4">
        <f t="shared" si="9"/>
        <v>45.769999999999996</v>
      </c>
      <c r="N240" t="str">
        <f t="shared" si="10"/>
        <v>Robusta</v>
      </c>
      <c r="O240" t="str">
        <f t="shared" si="11"/>
        <v>Medium</v>
      </c>
      <c r="P240" t="str">
        <f>_xlfn.XLOOKUP(Table1[[#This Row],[Customer ID]],customers!$A$1:$A$1001,customers!$I$1:$I$1001,,0)</f>
        <v>Yes</v>
      </c>
    </row>
    <row r="241" spans="1:16" x14ac:dyDescent="0.3">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6">
        <f>INDEX(products!$A$1:$G$49,MATCH(orders!$D241,products!$A$1:$A$49,0),MATCH(orders!K$1,products!$A$1:$G$1,0))</f>
        <v>1</v>
      </c>
      <c r="L241" s="5">
        <f>INDEX(products!$A$1:$G$49,MATCH(orders!$D241,products!$A$1:$A$49,0),MATCH(orders!L$1,products!$A$1:$G$1,0))</f>
        <v>14.85</v>
      </c>
      <c r="M241" s="4">
        <f t="shared" si="9"/>
        <v>59.4</v>
      </c>
      <c r="N241" t="str">
        <f t="shared" si="10"/>
        <v>Excelsa</v>
      </c>
      <c r="O241" t="str">
        <f t="shared" si="11"/>
        <v>Light</v>
      </c>
      <c r="P241" t="str">
        <f>_xlfn.XLOOKUP(Table1[[#This Row],[Customer ID]],customers!$A$1:$A$1001,customers!$I$1:$I$1001,,0)</f>
        <v>No</v>
      </c>
    </row>
    <row r="242" spans="1:16" x14ac:dyDescent="0.3">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6">
        <f>INDEX(products!$A$1:$G$49,MATCH(orders!$D242,products!$A$1:$A$49,0),MATCH(orders!K$1,products!$A$1:$G$1,0))</f>
        <v>2.5</v>
      </c>
      <c r="L242" s="5">
        <f>INDEX(products!$A$1:$G$49,MATCH(orders!$D242,products!$A$1:$A$49,0),MATCH(orders!L$1,products!$A$1:$G$1,0))</f>
        <v>25.874999999999996</v>
      </c>
      <c r="M242" s="4">
        <f t="shared" si="9"/>
        <v>155.24999999999997</v>
      </c>
      <c r="N242" t="str">
        <f t="shared" si="10"/>
        <v>Arabica</v>
      </c>
      <c r="O242" t="str">
        <f t="shared" si="11"/>
        <v>Medium</v>
      </c>
      <c r="P242" t="str">
        <f>_xlfn.XLOOKUP(Table1[[#This Row],[Customer ID]],customers!$A$1:$A$1001,customers!$I$1:$I$1001,,0)</f>
        <v>Yes</v>
      </c>
    </row>
    <row r="243" spans="1:16" x14ac:dyDescent="0.3">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6">
        <f>INDEX(products!$A$1:$G$49,MATCH(orders!$D243,products!$A$1:$A$49,0),MATCH(orders!K$1,products!$A$1:$G$1,0))</f>
        <v>2.5</v>
      </c>
      <c r="L243" s="5">
        <f>INDEX(products!$A$1:$G$49,MATCH(orders!$D243,products!$A$1:$A$49,0),MATCH(orders!L$1,products!$A$1:$G$1,0))</f>
        <v>22.884999999999998</v>
      </c>
      <c r="M243" s="4">
        <f t="shared" si="9"/>
        <v>45.769999999999996</v>
      </c>
      <c r="N243" t="str">
        <f t="shared" si="10"/>
        <v>Robusta</v>
      </c>
      <c r="O243" t="str">
        <f t="shared" si="11"/>
        <v>Medium</v>
      </c>
      <c r="P243" t="str">
        <f>_xlfn.XLOOKUP(Table1[[#This Row],[Customer ID]],customers!$A$1:$A$1001,customers!$I$1:$I$1001,,0)</f>
        <v>No</v>
      </c>
    </row>
    <row r="244" spans="1:16" x14ac:dyDescent="0.3">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6">
        <f>INDEX(products!$A$1:$G$49,MATCH(orders!$D244,products!$A$1:$A$49,0),MATCH(orders!K$1,products!$A$1:$G$1,0))</f>
        <v>1</v>
      </c>
      <c r="L244" s="5">
        <f>INDEX(products!$A$1:$G$49,MATCH(orders!$D244,products!$A$1:$A$49,0),MATCH(orders!L$1,products!$A$1:$G$1,0))</f>
        <v>12.15</v>
      </c>
      <c r="M244" s="4">
        <f t="shared" si="9"/>
        <v>36.450000000000003</v>
      </c>
      <c r="N244" t="str">
        <f t="shared" si="10"/>
        <v>Excelsa</v>
      </c>
      <c r="O244" t="str">
        <f t="shared" si="11"/>
        <v>Dark</v>
      </c>
      <c r="P244" t="str">
        <f>_xlfn.XLOOKUP(Table1[[#This Row],[Customer ID]],customers!$A$1:$A$1001,customers!$I$1:$I$1001,,0)</f>
        <v>Yes</v>
      </c>
    </row>
    <row r="245" spans="1:16" x14ac:dyDescent="0.3">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6">
        <f>INDEX(products!$A$1:$G$49,MATCH(orders!$D245,products!$A$1:$A$49,0),MATCH(orders!K$1,products!$A$1:$G$1,0))</f>
        <v>0.5</v>
      </c>
      <c r="L245" s="5">
        <f>INDEX(products!$A$1:$G$49,MATCH(orders!$D245,products!$A$1:$A$49,0),MATCH(orders!L$1,products!$A$1:$G$1,0))</f>
        <v>7.29</v>
      </c>
      <c r="M245" s="4">
        <f t="shared" si="9"/>
        <v>29.16</v>
      </c>
      <c r="N245" t="str">
        <f t="shared" si="10"/>
        <v>Excelsa</v>
      </c>
      <c r="O245" t="str">
        <f t="shared" si="11"/>
        <v>Dark</v>
      </c>
      <c r="P245" t="str">
        <f>_xlfn.XLOOKUP(Table1[[#This Row],[Customer ID]],customers!$A$1:$A$1001,customers!$I$1:$I$1001,,0)</f>
        <v>Yes</v>
      </c>
    </row>
    <row r="246" spans="1:16" x14ac:dyDescent="0.3">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6">
        <f>INDEX(products!$A$1:$G$49,MATCH(orders!$D246,products!$A$1:$A$49,0),MATCH(orders!K$1,products!$A$1:$G$1,0))</f>
        <v>2.5</v>
      </c>
      <c r="L246" s="5">
        <f>INDEX(products!$A$1:$G$49,MATCH(orders!$D246,products!$A$1:$A$49,0),MATCH(orders!L$1,products!$A$1:$G$1,0))</f>
        <v>33.464999999999996</v>
      </c>
      <c r="M246" s="4">
        <f t="shared" si="9"/>
        <v>133.85999999999999</v>
      </c>
      <c r="N246" t="str">
        <f t="shared" si="10"/>
        <v>Librica</v>
      </c>
      <c r="O246" t="str">
        <f t="shared" si="11"/>
        <v>Medium</v>
      </c>
      <c r="P246" t="str">
        <f>_xlfn.XLOOKUP(Table1[[#This Row],[Customer ID]],customers!$A$1:$A$1001,customers!$I$1:$I$1001,,0)</f>
        <v>No</v>
      </c>
    </row>
    <row r="247" spans="1:16" x14ac:dyDescent="0.3">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6">
        <f>INDEX(products!$A$1:$G$49,MATCH(orders!$D247,products!$A$1:$A$49,0),MATCH(orders!K$1,products!$A$1:$G$1,0))</f>
        <v>0.2</v>
      </c>
      <c r="L247" s="5">
        <f>INDEX(products!$A$1:$G$49,MATCH(orders!$D247,products!$A$1:$A$49,0),MATCH(orders!L$1,products!$A$1:$G$1,0))</f>
        <v>4.7549999999999999</v>
      </c>
      <c r="M247" s="4">
        <f t="shared" si="9"/>
        <v>23.774999999999999</v>
      </c>
      <c r="N247" t="str">
        <f t="shared" si="10"/>
        <v>Librica</v>
      </c>
      <c r="O247" t="str">
        <f t="shared" si="11"/>
        <v>Light</v>
      </c>
      <c r="P247" t="str">
        <f>_xlfn.XLOOKUP(Table1[[#This Row],[Customer ID]],customers!$A$1:$A$1001,customers!$I$1:$I$1001,,0)</f>
        <v>Yes</v>
      </c>
    </row>
    <row r="248" spans="1:16" x14ac:dyDescent="0.3">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6">
        <f>INDEX(products!$A$1:$G$49,MATCH(orders!$D248,products!$A$1:$A$49,0),MATCH(orders!K$1,products!$A$1:$G$1,0))</f>
        <v>1</v>
      </c>
      <c r="L248" s="5">
        <f>INDEX(products!$A$1:$G$49,MATCH(orders!$D248,products!$A$1:$A$49,0),MATCH(orders!L$1,products!$A$1:$G$1,0))</f>
        <v>12.95</v>
      </c>
      <c r="M248" s="4">
        <f t="shared" si="9"/>
        <v>38.849999999999994</v>
      </c>
      <c r="N248" t="str">
        <f t="shared" si="10"/>
        <v>Librica</v>
      </c>
      <c r="O248" t="str">
        <f t="shared" si="11"/>
        <v>Dark</v>
      </c>
      <c r="P248" t="str">
        <f>_xlfn.XLOOKUP(Table1[[#This Row],[Customer ID]],customers!$A$1:$A$1001,customers!$I$1:$I$1001,,0)</f>
        <v>No</v>
      </c>
    </row>
    <row r="249" spans="1:16" x14ac:dyDescent="0.3">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6">
        <f>INDEX(products!$A$1:$G$49,MATCH(orders!$D249,products!$A$1:$A$49,0),MATCH(orders!K$1,products!$A$1:$G$1,0))</f>
        <v>0.2</v>
      </c>
      <c r="L249" s="5">
        <f>INDEX(products!$A$1:$G$49,MATCH(orders!$D249,products!$A$1:$A$49,0),MATCH(orders!L$1,products!$A$1:$G$1,0))</f>
        <v>3.5849999999999995</v>
      </c>
      <c r="M249" s="4">
        <f t="shared" si="9"/>
        <v>21.509999999999998</v>
      </c>
      <c r="N249" t="str">
        <f t="shared" si="10"/>
        <v>Robusta</v>
      </c>
      <c r="O249" t="str">
        <f t="shared" si="11"/>
        <v>Light</v>
      </c>
      <c r="P249" t="str">
        <f>_xlfn.XLOOKUP(Table1[[#This Row],[Customer ID]],customers!$A$1:$A$1001,customers!$I$1:$I$1001,,0)</f>
        <v>Yes</v>
      </c>
    </row>
    <row r="250" spans="1:16" x14ac:dyDescent="0.3">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6">
        <f>INDEX(products!$A$1:$G$49,MATCH(orders!$D250,products!$A$1:$A$49,0),MATCH(orders!K$1,products!$A$1:$G$1,0))</f>
        <v>1</v>
      </c>
      <c r="L250" s="5">
        <f>INDEX(products!$A$1:$G$49,MATCH(orders!$D250,products!$A$1:$A$49,0),MATCH(orders!L$1,products!$A$1:$G$1,0))</f>
        <v>9.9499999999999993</v>
      </c>
      <c r="M250" s="4">
        <f t="shared" si="9"/>
        <v>9.9499999999999993</v>
      </c>
      <c r="N250" t="str">
        <f t="shared" si="10"/>
        <v>Arabica</v>
      </c>
      <c r="O250" t="str">
        <f t="shared" si="11"/>
        <v>Dark</v>
      </c>
      <c r="P250" t="str">
        <f>_xlfn.XLOOKUP(Table1[[#This Row],[Customer ID]],customers!$A$1:$A$1001,customers!$I$1:$I$1001,,0)</f>
        <v>Yes</v>
      </c>
    </row>
    <row r="251" spans="1:16" x14ac:dyDescent="0.3">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6">
        <f>INDEX(products!$A$1:$G$49,MATCH(orders!$D251,products!$A$1:$A$49,0),MATCH(orders!K$1,products!$A$1:$G$1,0))</f>
        <v>1</v>
      </c>
      <c r="L251" s="5">
        <f>INDEX(products!$A$1:$G$49,MATCH(orders!$D251,products!$A$1:$A$49,0),MATCH(orders!L$1,products!$A$1:$G$1,0))</f>
        <v>15.85</v>
      </c>
      <c r="M251" s="4">
        <f t="shared" si="9"/>
        <v>15.85</v>
      </c>
      <c r="N251" t="str">
        <f t="shared" si="10"/>
        <v>Librica</v>
      </c>
      <c r="O251" t="str">
        <f t="shared" si="11"/>
        <v>Light</v>
      </c>
      <c r="P251" t="str">
        <f>_xlfn.XLOOKUP(Table1[[#This Row],[Customer ID]],customers!$A$1:$A$1001,customers!$I$1:$I$1001,,0)</f>
        <v>Yes</v>
      </c>
    </row>
    <row r="252" spans="1:16" x14ac:dyDescent="0.3">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6">
        <f>INDEX(products!$A$1:$G$49,MATCH(orders!$D252,products!$A$1:$A$49,0),MATCH(orders!K$1,products!$A$1:$G$1,0))</f>
        <v>0.2</v>
      </c>
      <c r="L252" s="5">
        <f>INDEX(products!$A$1:$G$49,MATCH(orders!$D252,products!$A$1:$A$49,0),MATCH(orders!L$1,products!$A$1:$G$1,0))</f>
        <v>2.9849999999999999</v>
      </c>
      <c r="M252" s="4">
        <f t="shared" si="9"/>
        <v>2.9849999999999999</v>
      </c>
      <c r="N252" t="str">
        <f t="shared" si="10"/>
        <v>Robusta</v>
      </c>
      <c r="O252" t="str">
        <f t="shared" si="11"/>
        <v>Medium</v>
      </c>
      <c r="P252" t="str">
        <f>_xlfn.XLOOKUP(Table1[[#This Row],[Customer ID]],customers!$A$1:$A$1001,customers!$I$1:$I$1001,,0)</f>
        <v>Yes</v>
      </c>
    </row>
    <row r="253" spans="1:16" x14ac:dyDescent="0.3">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6">
        <f>INDEX(products!$A$1:$G$49,MATCH(orders!$D253,products!$A$1:$A$49,0),MATCH(orders!K$1,products!$A$1:$G$1,0))</f>
        <v>1</v>
      </c>
      <c r="L253" s="5">
        <f>INDEX(products!$A$1:$G$49,MATCH(orders!$D253,products!$A$1:$A$49,0),MATCH(orders!L$1,products!$A$1:$G$1,0))</f>
        <v>13.75</v>
      </c>
      <c r="M253" s="4">
        <f t="shared" si="9"/>
        <v>68.75</v>
      </c>
      <c r="N253" t="str">
        <f t="shared" si="10"/>
        <v>Excelsa</v>
      </c>
      <c r="O253" t="str">
        <f t="shared" si="11"/>
        <v>Medium</v>
      </c>
      <c r="P253" t="str">
        <f>_xlfn.XLOOKUP(Table1[[#This Row],[Customer ID]],customers!$A$1:$A$1001,customers!$I$1:$I$1001,,0)</f>
        <v>Yes</v>
      </c>
    </row>
    <row r="254" spans="1:16" x14ac:dyDescent="0.3">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6">
        <f>INDEX(products!$A$1:$G$49,MATCH(orders!$D254,products!$A$1:$A$49,0),MATCH(orders!K$1,products!$A$1:$G$1,0))</f>
        <v>1</v>
      </c>
      <c r="L254" s="5">
        <f>INDEX(products!$A$1:$G$49,MATCH(orders!$D254,products!$A$1:$A$49,0),MATCH(orders!L$1,products!$A$1:$G$1,0))</f>
        <v>9.9499999999999993</v>
      </c>
      <c r="M254" s="4">
        <f t="shared" si="9"/>
        <v>29.849999999999998</v>
      </c>
      <c r="N254" t="str">
        <f t="shared" si="10"/>
        <v>Arabica</v>
      </c>
      <c r="O254" t="str">
        <f t="shared" si="11"/>
        <v>Dark</v>
      </c>
      <c r="P254" t="str">
        <f>_xlfn.XLOOKUP(Table1[[#This Row],[Customer ID]],customers!$A$1:$A$1001,customers!$I$1:$I$1001,,0)</f>
        <v>No</v>
      </c>
    </row>
    <row r="255" spans="1:16" x14ac:dyDescent="0.3">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6">
        <f>INDEX(products!$A$1:$G$49,MATCH(orders!$D255,products!$A$1:$A$49,0),MATCH(orders!K$1,products!$A$1:$G$1,0))</f>
        <v>1</v>
      </c>
      <c r="L255" s="5">
        <f>INDEX(products!$A$1:$G$49,MATCH(orders!$D255,products!$A$1:$A$49,0),MATCH(orders!L$1,products!$A$1:$G$1,0))</f>
        <v>14.55</v>
      </c>
      <c r="M255" s="4">
        <f t="shared" si="9"/>
        <v>58.2</v>
      </c>
      <c r="N255" t="str">
        <f t="shared" si="10"/>
        <v>Librica</v>
      </c>
      <c r="O255" t="str">
        <f t="shared" si="11"/>
        <v>Medium</v>
      </c>
      <c r="P255" t="str">
        <f>_xlfn.XLOOKUP(Table1[[#This Row],[Customer ID]],customers!$A$1:$A$1001,customers!$I$1:$I$1001,,0)</f>
        <v>No</v>
      </c>
    </row>
    <row r="256" spans="1:16" x14ac:dyDescent="0.3">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6">
        <f>INDEX(products!$A$1:$G$49,MATCH(orders!$D256,products!$A$1:$A$49,0),MATCH(orders!K$1,products!$A$1:$G$1,0))</f>
        <v>0.5</v>
      </c>
      <c r="L256" s="5">
        <f>INDEX(products!$A$1:$G$49,MATCH(orders!$D256,products!$A$1:$A$49,0),MATCH(orders!L$1,products!$A$1:$G$1,0))</f>
        <v>7.169999999999999</v>
      </c>
      <c r="M256" s="4">
        <f t="shared" si="9"/>
        <v>28.679999999999996</v>
      </c>
      <c r="N256" t="str">
        <f t="shared" si="10"/>
        <v>Robusta</v>
      </c>
      <c r="O256" t="str">
        <f t="shared" si="11"/>
        <v>Light</v>
      </c>
      <c r="P256" t="str">
        <f>_xlfn.XLOOKUP(Table1[[#This Row],[Customer ID]],customers!$A$1:$A$1001,customers!$I$1:$I$1001,,0)</f>
        <v>No</v>
      </c>
    </row>
    <row r="257" spans="1:16" x14ac:dyDescent="0.3">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6">
        <f>INDEX(products!$A$1:$G$49,MATCH(orders!$D257,products!$A$1:$A$49,0),MATCH(orders!K$1,products!$A$1:$G$1,0))</f>
        <v>0.5</v>
      </c>
      <c r="L257" s="5">
        <f>INDEX(products!$A$1:$G$49,MATCH(orders!$D257,products!$A$1:$A$49,0),MATCH(orders!L$1,products!$A$1:$G$1,0))</f>
        <v>7.169999999999999</v>
      </c>
      <c r="M257" s="4">
        <f t="shared" si="9"/>
        <v>21.509999999999998</v>
      </c>
      <c r="N257" t="str">
        <f t="shared" si="10"/>
        <v>Robusta</v>
      </c>
      <c r="O257" t="str">
        <f t="shared" si="11"/>
        <v>Light</v>
      </c>
      <c r="P257" t="str">
        <f>_xlfn.XLOOKUP(Table1[[#This Row],[Customer ID]],customers!$A$1:$A$1001,customers!$I$1:$I$1001,,0)</f>
        <v>No</v>
      </c>
    </row>
    <row r="258" spans="1:16" x14ac:dyDescent="0.3">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6">
        <f>INDEX(products!$A$1:$G$49,MATCH(orders!$D258,products!$A$1:$A$49,0),MATCH(orders!K$1,products!$A$1:$G$1,0))</f>
        <v>0.5</v>
      </c>
      <c r="L258" s="5">
        <f>INDEX(products!$A$1:$G$49,MATCH(orders!$D258,products!$A$1:$A$49,0),MATCH(orders!L$1,products!$A$1:$G$1,0))</f>
        <v>8.73</v>
      </c>
      <c r="M258" s="4">
        <f t="shared" si="9"/>
        <v>17.46</v>
      </c>
      <c r="N258" t="str">
        <f t="shared" si="10"/>
        <v>Librica</v>
      </c>
      <c r="O258" t="str">
        <f t="shared" si="11"/>
        <v>Medium</v>
      </c>
      <c r="P258" t="str">
        <f>_xlfn.XLOOKUP(Table1[[#This Row],[Customer ID]],customers!$A$1:$A$1001,customers!$I$1:$I$1001,,0)</f>
        <v>Yes</v>
      </c>
    </row>
    <row r="259" spans="1:16" x14ac:dyDescent="0.3">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6">
        <f>INDEX(products!$A$1:$G$49,MATCH(orders!$D259,products!$A$1:$A$49,0),MATCH(orders!K$1,products!$A$1:$G$1,0))</f>
        <v>2.5</v>
      </c>
      <c r="L259" s="5">
        <f>INDEX(products!$A$1:$G$49,MATCH(orders!$D259,products!$A$1:$A$49,0),MATCH(orders!L$1,products!$A$1:$G$1,0))</f>
        <v>27.945</v>
      </c>
      <c r="M259" s="4">
        <f t="shared" ref="M259:M322" si="12">L259*E259</f>
        <v>27.945</v>
      </c>
      <c r="N259" t="str">
        <f t="shared" ref="N259:N322" si="13">IF(I259="Rob","Robusta",IF(I259="Exc","Excelsa",IF(I259="Ara","Arabica",IF(I259="Lib","Librica",""))))</f>
        <v>Excelsa</v>
      </c>
      <c r="O259" t="str">
        <f t="shared" ref="O259:O322" si="14">IF(J259="M","Medium",IF(J259="L","Light",IF(J259="D","Dark","")))</f>
        <v>Dark</v>
      </c>
      <c r="P259" t="str">
        <f>_xlfn.XLOOKUP(Table1[[#This Row],[Customer ID]],customers!$A$1:$A$1001,customers!$I$1:$I$1001,,0)</f>
        <v>Yes</v>
      </c>
    </row>
    <row r="260" spans="1:16" x14ac:dyDescent="0.3">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6">
        <f>INDEX(products!$A$1:$G$49,MATCH(orders!$D260,products!$A$1:$A$49,0),MATCH(orders!K$1,products!$A$1:$G$1,0))</f>
        <v>2.5</v>
      </c>
      <c r="L260" s="5">
        <f>INDEX(products!$A$1:$G$49,MATCH(orders!$D260,products!$A$1:$A$49,0),MATCH(orders!L$1,products!$A$1:$G$1,0))</f>
        <v>27.945</v>
      </c>
      <c r="M260" s="4">
        <f t="shared" si="12"/>
        <v>139.72499999999999</v>
      </c>
      <c r="N260" t="str">
        <f t="shared" si="13"/>
        <v>Excelsa</v>
      </c>
      <c r="O260" t="str">
        <f t="shared" si="14"/>
        <v>Dark</v>
      </c>
      <c r="P260" t="str">
        <f>_xlfn.XLOOKUP(Table1[[#This Row],[Customer ID]],customers!$A$1:$A$1001,customers!$I$1:$I$1001,,0)</f>
        <v>No</v>
      </c>
    </row>
    <row r="261" spans="1:16" x14ac:dyDescent="0.3">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6">
        <f>INDEX(products!$A$1:$G$49,MATCH(orders!$D261,products!$A$1:$A$49,0),MATCH(orders!K$1,products!$A$1:$G$1,0))</f>
        <v>0.2</v>
      </c>
      <c r="L261" s="5">
        <f>INDEX(products!$A$1:$G$49,MATCH(orders!$D261,products!$A$1:$A$49,0),MATCH(orders!L$1,products!$A$1:$G$1,0))</f>
        <v>2.9849999999999999</v>
      </c>
      <c r="M261" s="4">
        <f t="shared" si="12"/>
        <v>5.97</v>
      </c>
      <c r="N261" t="str">
        <f t="shared" si="13"/>
        <v>Robusta</v>
      </c>
      <c r="O261" t="str">
        <f t="shared" si="14"/>
        <v>Medium</v>
      </c>
      <c r="P261" t="str">
        <f>_xlfn.XLOOKUP(Table1[[#This Row],[Customer ID]],customers!$A$1:$A$1001,customers!$I$1:$I$1001,,0)</f>
        <v>No</v>
      </c>
    </row>
    <row r="262" spans="1:16" x14ac:dyDescent="0.3">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6">
        <f>INDEX(products!$A$1:$G$49,MATCH(orders!$D262,products!$A$1:$A$49,0),MATCH(orders!K$1,products!$A$1:$G$1,0))</f>
        <v>2.5</v>
      </c>
      <c r="L262" s="5">
        <f>INDEX(products!$A$1:$G$49,MATCH(orders!$D262,products!$A$1:$A$49,0),MATCH(orders!L$1,products!$A$1:$G$1,0))</f>
        <v>27.484999999999996</v>
      </c>
      <c r="M262" s="4">
        <f t="shared" si="12"/>
        <v>27.484999999999996</v>
      </c>
      <c r="N262" t="str">
        <f t="shared" si="13"/>
        <v>Robusta</v>
      </c>
      <c r="O262" t="str">
        <f t="shared" si="14"/>
        <v>Light</v>
      </c>
      <c r="P262" t="str">
        <f>_xlfn.XLOOKUP(Table1[[#This Row],[Customer ID]],customers!$A$1:$A$1001,customers!$I$1:$I$1001,,0)</f>
        <v>Yes</v>
      </c>
    </row>
    <row r="263" spans="1:16" x14ac:dyDescent="0.3">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6">
        <f>INDEX(products!$A$1:$G$49,MATCH(orders!$D263,products!$A$1:$A$49,0),MATCH(orders!K$1,products!$A$1:$G$1,0))</f>
        <v>1</v>
      </c>
      <c r="L263" s="5">
        <f>INDEX(products!$A$1:$G$49,MATCH(orders!$D263,products!$A$1:$A$49,0),MATCH(orders!L$1,products!$A$1:$G$1,0))</f>
        <v>11.95</v>
      </c>
      <c r="M263" s="4">
        <f t="shared" si="12"/>
        <v>59.75</v>
      </c>
      <c r="N263" t="str">
        <f t="shared" si="13"/>
        <v>Robusta</v>
      </c>
      <c r="O263" t="str">
        <f t="shared" si="14"/>
        <v>Light</v>
      </c>
      <c r="P263" t="str">
        <f>_xlfn.XLOOKUP(Table1[[#This Row],[Customer ID]],customers!$A$1:$A$1001,customers!$I$1:$I$1001,,0)</f>
        <v>Yes</v>
      </c>
    </row>
    <row r="264" spans="1:16" x14ac:dyDescent="0.3">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6">
        <f>INDEX(products!$A$1:$G$49,MATCH(orders!$D264,products!$A$1:$A$49,0),MATCH(orders!K$1,products!$A$1:$G$1,0))</f>
        <v>1</v>
      </c>
      <c r="L264" s="5">
        <f>INDEX(products!$A$1:$G$49,MATCH(orders!$D264,products!$A$1:$A$49,0),MATCH(orders!L$1,products!$A$1:$G$1,0))</f>
        <v>13.75</v>
      </c>
      <c r="M264" s="4">
        <f t="shared" si="12"/>
        <v>41.25</v>
      </c>
      <c r="N264" t="str">
        <f t="shared" si="13"/>
        <v>Excelsa</v>
      </c>
      <c r="O264" t="str">
        <f t="shared" si="14"/>
        <v>Medium</v>
      </c>
      <c r="P264" t="str">
        <f>_xlfn.XLOOKUP(Table1[[#This Row],[Customer ID]],customers!$A$1:$A$1001,customers!$I$1:$I$1001,,0)</f>
        <v>No</v>
      </c>
    </row>
    <row r="265" spans="1:16" x14ac:dyDescent="0.3">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6">
        <f>INDEX(products!$A$1:$G$49,MATCH(orders!$D265,products!$A$1:$A$49,0),MATCH(orders!K$1,products!$A$1:$G$1,0))</f>
        <v>2.5</v>
      </c>
      <c r="L265" s="5">
        <f>INDEX(products!$A$1:$G$49,MATCH(orders!$D265,products!$A$1:$A$49,0),MATCH(orders!L$1,products!$A$1:$G$1,0))</f>
        <v>33.464999999999996</v>
      </c>
      <c r="M265" s="4">
        <f t="shared" si="12"/>
        <v>133.85999999999999</v>
      </c>
      <c r="N265" t="str">
        <f t="shared" si="13"/>
        <v>Librica</v>
      </c>
      <c r="O265" t="str">
        <f t="shared" si="14"/>
        <v>Medium</v>
      </c>
      <c r="P265" t="str">
        <f>_xlfn.XLOOKUP(Table1[[#This Row],[Customer ID]],customers!$A$1:$A$1001,customers!$I$1:$I$1001,,0)</f>
        <v>No</v>
      </c>
    </row>
    <row r="266" spans="1:16" x14ac:dyDescent="0.3">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6">
        <f>INDEX(products!$A$1:$G$49,MATCH(orders!$D266,products!$A$1:$A$49,0),MATCH(orders!K$1,products!$A$1:$G$1,0))</f>
        <v>1</v>
      </c>
      <c r="L266" s="5">
        <f>INDEX(products!$A$1:$G$49,MATCH(orders!$D266,products!$A$1:$A$49,0),MATCH(orders!L$1,products!$A$1:$G$1,0))</f>
        <v>11.95</v>
      </c>
      <c r="M266" s="4">
        <f t="shared" si="12"/>
        <v>59.75</v>
      </c>
      <c r="N266" t="str">
        <f t="shared" si="13"/>
        <v>Robusta</v>
      </c>
      <c r="O266" t="str">
        <f t="shared" si="14"/>
        <v>Light</v>
      </c>
      <c r="P266" t="str">
        <f>_xlfn.XLOOKUP(Table1[[#This Row],[Customer ID]],customers!$A$1:$A$1001,customers!$I$1:$I$1001,,0)</f>
        <v>Yes</v>
      </c>
    </row>
    <row r="267" spans="1:16" x14ac:dyDescent="0.3">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6">
        <f>INDEX(products!$A$1:$G$49,MATCH(orders!$D267,products!$A$1:$A$49,0),MATCH(orders!K$1,products!$A$1:$G$1,0))</f>
        <v>0.5</v>
      </c>
      <c r="L267" s="5">
        <f>INDEX(products!$A$1:$G$49,MATCH(orders!$D267,products!$A$1:$A$49,0),MATCH(orders!L$1,products!$A$1:$G$1,0))</f>
        <v>5.97</v>
      </c>
      <c r="M267" s="4">
        <f t="shared" si="12"/>
        <v>5.97</v>
      </c>
      <c r="N267" t="str">
        <f t="shared" si="13"/>
        <v>Arabica</v>
      </c>
      <c r="O267" t="str">
        <f t="shared" si="14"/>
        <v>Dark</v>
      </c>
      <c r="P267" t="str">
        <f>_xlfn.XLOOKUP(Table1[[#This Row],[Customer ID]],customers!$A$1:$A$1001,customers!$I$1:$I$1001,,0)</f>
        <v>Yes</v>
      </c>
    </row>
    <row r="268" spans="1:16" x14ac:dyDescent="0.3">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6">
        <f>INDEX(products!$A$1:$G$49,MATCH(orders!$D268,products!$A$1:$A$49,0),MATCH(orders!K$1,products!$A$1:$G$1,0))</f>
        <v>1</v>
      </c>
      <c r="L268" s="5">
        <f>INDEX(products!$A$1:$G$49,MATCH(orders!$D268,products!$A$1:$A$49,0),MATCH(orders!L$1,products!$A$1:$G$1,0))</f>
        <v>12.15</v>
      </c>
      <c r="M268" s="4">
        <f t="shared" si="12"/>
        <v>24.3</v>
      </c>
      <c r="N268" t="str">
        <f t="shared" si="13"/>
        <v>Excelsa</v>
      </c>
      <c r="O268" t="str">
        <f t="shared" si="14"/>
        <v>Dark</v>
      </c>
      <c r="P268" t="str">
        <f>_xlfn.XLOOKUP(Table1[[#This Row],[Customer ID]],customers!$A$1:$A$1001,customers!$I$1:$I$1001,,0)</f>
        <v>No</v>
      </c>
    </row>
    <row r="269" spans="1:16" x14ac:dyDescent="0.3">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6">
        <f>INDEX(products!$A$1:$G$49,MATCH(orders!$D269,products!$A$1:$A$49,0),MATCH(orders!K$1,products!$A$1:$G$1,0))</f>
        <v>0.2</v>
      </c>
      <c r="L269" s="5">
        <f>INDEX(products!$A$1:$G$49,MATCH(orders!$D269,products!$A$1:$A$49,0),MATCH(orders!L$1,products!$A$1:$G$1,0))</f>
        <v>3.645</v>
      </c>
      <c r="M269" s="4">
        <f t="shared" si="12"/>
        <v>21.87</v>
      </c>
      <c r="N269" t="str">
        <f t="shared" si="13"/>
        <v>Excelsa</v>
      </c>
      <c r="O269" t="str">
        <f t="shared" si="14"/>
        <v>Dark</v>
      </c>
      <c r="P269" t="str">
        <f>_xlfn.XLOOKUP(Table1[[#This Row],[Customer ID]],customers!$A$1:$A$1001,customers!$I$1:$I$1001,,0)</f>
        <v>Yes</v>
      </c>
    </row>
    <row r="270" spans="1:16" x14ac:dyDescent="0.3">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6">
        <f>INDEX(products!$A$1:$G$49,MATCH(orders!$D270,products!$A$1:$A$49,0),MATCH(orders!K$1,products!$A$1:$G$1,0))</f>
        <v>1</v>
      </c>
      <c r="L270" s="5">
        <f>INDEX(products!$A$1:$G$49,MATCH(orders!$D270,products!$A$1:$A$49,0),MATCH(orders!L$1,products!$A$1:$G$1,0))</f>
        <v>9.9499999999999993</v>
      </c>
      <c r="M270" s="4">
        <f t="shared" si="12"/>
        <v>19.899999999999999</v>
      </c>
      <c r="N270" t="str">
        <f t="shared" si="13"/>
        <v>Arabica</v>
      </c>
      <c r="O270" t="str">
        <f t="shared" si="14"/>
        <v>Dark</v>
      </c>
      <c r="P270" t="str">
        <f>_xlfn.XLOOKUP(Table1[[#This Row],[Customer ID]],customers!$A$1:$A$1001,customers!$I$1:$I$1001,,0)</f>
        <v>Yes</v>
      </c>
    </row>
    <row r="271" spans="1:16" x14ac:dyDescent="0.3">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6">
        <f>INDEX(products!$A$1:$G$49,MATCH(orders!$D271,products!$A$1:$A$49,0),MATCH(orders!K$1,products!$A$1:$G$1,0))</f>
        <v>0.2</v>
      </c>
      <c r="L271" s="5">
        <f>INDEX(products!$A$1:$G$49,MATCH(orders!$D271,products!$A$1:$A$49,0),MATCH(orders!L$1,products!$A$1:$G$1,0))</f>
        <v>2.9849999999999999</v>
      </c>
      <c r="M271" s="4">
        <f t="shared" si="12"/>
        <v>5.97</v>
      </c>
      <c r="N271" t="str">
        <f t="shared" si="13"/>
        <v>Arabica</v>
      </c>
      <c r="O271" t="str">
        <f t="shared" si="14"/>
        <v>Dark</v>
      </c>
      <c r="P271" t="str">
        <f>_xlfn.XLOOKUP(Table1[[#This Row],[Customer ID]],customers!$A$1:$A$1001,customers!$I$1:$I$1001,,0)</f>
        <v>No</v>
      </c>
    </row>
    <row r="272" spans="1:16" x14ac:dyDescent="0.3">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6">
        <f>INDEX(products!$A$1:$G$49,MATCH(orders!$D272,products!$A$1:$A$49,0),MATCH(orders!K$1,products!$A$1:$G$1,0))</f>
        <v>0.5</v>
      </c>
      <c r="L272" s="5">
        <f>INDEX(products!$A$1:$G$49,MATCH(orders!$D272,products!$A$1:$A$49,0),MATCH(orders!L$1,products!$A$1:$G$1,0))</f>
        <v>7.29</v>
      </c>
      <c r="M272" s="4">
        <f t="shared" si="12"/>
        <v>7.29</v>
      </c>
      <c r="N272" t="str">
        <f t="shared" si="13"/>
        <v>Excelsa</v>
      </c>
      <c r="O272" t="str">
        <f t="shared" si="14"/>
        <v>Dark</v>
      </c>
      <c r="P272" t="str">
        <f>_xlfn.XLOOKUP(Table1[[#This Row],[Customer ID]],customers!$A$1:$A$1001,customers!$I$1:$I$1001,,0)</f>
        <v>Yes</v>
      </c>
    </row>
    <row r="273" spans="1:16" x14ac:dyDescent="0.3">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6">
        <f>INDEX(products!$A$1:$G$49,MATCH(orders!$D273,products!$A$1:$A$49,0),MATCH(orders!K$1,products!$A$1:$G$1,0))</f>
        <v>0.2</v>
      </c>
      <c r="L273" s="5">
        <f>INDEX(products!$A$1:$G$49,MATCH(orders!$D273,products!$A$1:$A$49,0),MATCH(orders!L$1,products!$A$1:$G$1,0))</f>
        <v>2.9849999999999999</v>
      </c>
      <c r="M273" s="4">
        <f t="shared" si="12"/>
        <v>11.94</v>
      </c>
      <c r="N273" t="str">
        <f t="shared" si="13"/>
        <v>Arabica</v>
      </c>
      <c r="O273" t="str">
        <f t="shared" si="14"/>
        <v>Dark</v>
      </c>
      <c r="P273" t="str">
        <f>_xlfn.XLOOKUP(Table1[[#This Row],[Customer ID]],customers!$A$1:$A$1001,customers!$I$1:$I$1001,,0)</f>
        <v>Yes</v>
      </c>
    </row>
    <row r="274" spans="1:16" x14ac:dyDescent="0.3">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6">
        <f>INDEX(products!$A$1:$G$49,MATCH(orders!$D274,products!$A$1:$A$49,0),MATCH(orders!K$1,products!$A$1:$G$1,0))</f>
        <v>1</v>
      </c>
      <c r="L274" s="5">
        <f>INDEX(products!$A$1:$G$49,MATCH(orders!$D274,products!$A$1:$A$49,0),MATCH(orders!L$1,products!$A$1:$G$1,0))</f>
        <v>11.95</v>
      </c>
      <c r="M274" s="4">
        <f t="shared" si="12"/>
        <v>71.699999999999989</v>
      </c>
      <c r="N274" t="str">
        <f t="shared" si="13"/>
        <v>Robusta</v>
      </c>
      <c r="O274" t="str">
        <f t="shared" si="14"/>
        <v>Light</v>
      </c>
      <c r="P274" t="str">
        <f>_xlfn.XLOOKUP(Table1[[#This Row],[Customer ID]],customers!$A$1:$A$1001,customers!$I$1:$I$1001,,0)</f>
        <v>Yes</v>
      </c>
    </row>
    <row r="275" spans="1:16" x14ac:dyDescent="0.3">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6">
        <f>INDEX(products!$A$1:$G$49,MATCH(orders!$D275,products!$A$1:$A$49,0),MATCH(orders!K$1,products!$A$1:$G$1,0))</f>
        <v>0.2</v>
      </c>
      <c r="L275" s="5">
        <f>INDEX(products!$A$1:$G$49,MATCH(orders!$D275,products!$A$1:$A$49,0),MATCH(orders!L$1,products!$A$1:$G$1,0))</f>
        <v>3.8849999999999998</v>
      </c>
      <c r="M275" s="4">
        <f t="shared" si="12"/>
        <v>7.77</v>
      </c>
      <c r="N275" t="str">
        <f t="shared" si="13"/>
        <v>Arabica</v>
      </c>
      <c r="O275" t="str">
        <f t="shared" si="14"/>
        <v>Light</v>
      </c>
      <c r="P275" t="str">
        <f>_xlfn.XLOOKUP(Table1[[#This Row],[Customer ID]],customers!$A$1:$A$1001,customers!$I$1:$I$1001,,0)</f>
        <v>No</v>
      </c>
    </row>
    <row r="276" spans="1:16" x14ac:dyDescent="0.3">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6">
        <f>INDEX(products!$A$1:$G$49,MATCH(orders!$D276,products!$A$1:$A$49,0),MATCH(orders!K$1,products!$A$1:$G$1,0))</f>
        <v>2.5</v>
      </c>
      <c r="L276" s="5">
        <f>INDEX(products!$A$1:$G$49,MATCH(orders!$D276,products!$A$1:$A$49,0),MATCH(orders!L$1,products!$A$1:$G$1,0))</f>
        <v>25.874999999999996</v>
      </c>
      <c r="M276" s="4">
        <f t="shared" si="12"/>
        <v>25.874999999999996</v>
      </c>
      <c r="N276" t="str">
        <f t="shared" si="13"/>
        <v>Arabica</v>
      </c>
      <c r="O276" t="str">
        <f t="shared" si="14"/>
        <v>Medium</v>
      </c>
      <c r="P276" t="str">
        <f>_xlfn.XLOOKUP(Table1[[#This Row],[Customer ID]],customers!$A$1:$A$1001,customers!$I$1:$I$1001,,0)</f>
        <v>No</v>
      </c>
    </row>
    <row r="277" spans="1:16" x14ac:dyDescent="0.3">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6">
        <f>INDEX(products!$A$1:$G$49,MATCH(orders!$D277,products!$A$1:$A$49,0),MATCH(orders!K$1,products!$A$1:$G$1,0))</f>
        <v>2.5</v>
      </c>
      <c r="L277" s="5">
        <f>INDEX(products!$A$1:$G$49,MATCH(orders!$D277,products!$A$1:$A$49,0),MATCH(orders!L$1,products!$A$1:$G$1,0))</f>
        <v>34.154999999999994</v>
      </c>
      <c r="M277" s="4">
        <f t="shared" si="12"/>
        <v>204.92999999999995</v>
      </c>
      <c r="N277" t="str">
        <f t="shared" si="13"/>
        <v>Excelsa</v>
      </c>
      <c r="O277" t="str">
        <f t="shared" si="14"/>
        <v>Light</v>
      </c>
      <c r="P277" t="str">
        <f>_xlfn.XLOOKUP(Table1[[#This Row],[Customer ID]],customers!$A$1:$A$1001,customers!$I$1:$I$1001,,0)</f>
        <v>No</v>
      </c>
    </row>
    <row r="278" spans="1:16" x14ac:dyDescent="0.3">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6">
        <f>INDEX(products!$A$1:$G$49,MATCH(orders!$D278,products!$A$1:$A$49,0),MATCH(orders!K$1,products!$A$1:$G$1,0))</f>
        <v>2.5</v>
      </c>
      <c r="L278" s="5">
        <f>INDEX(products!$A$1:$G$49,MATCH(orders!$D278,products!$A$1:$A$49,0),MATCH(orders!L$1,products!$A$1:$G$1,0))</f>
        <v>27.484999999999996</v>
      </c>
      <c r="M278" s="4">
        <f t="shared" si="12"/>
        <v>109.93999999999998</v>
      </c>
      <c r="N278" t="str">
        <f t="shared" si="13"/>
        <v>Robusta</v>
      </c>
      <c r="O278" t="str">
        <f t="shared" si="14"/>
        <v>Light</v>
      </c>
      <c r="P278" t="str">
        <f>_xlfn.XLOOKUP(Table1[[#This Row],[Customer ID]],customers!$A$1:$A$1001,customers!$I$1:$I$1001,,0)</f>
        <v>Yes</v>
      </c>
    </row>
    <row r="279" spans="1:16" x14ac:dyDescent="0.3">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6">
        <f>INDEX(products!$A$1:$G$49,MATCH(orders!$D279,products!$A$1:$A$49,0),MATCH(orders!K$1,products!$A$1:$G$1,0))</f>
        <v>1</v>
      </c>
      <c r="L279" s="5">
        <f>INDEX(products!$A$1:$G$49,MATCH(orders!$D279,products!$A$1:$A$49,0),MATCH(orders!L$1,products!$A$1:$G$1,0))</f>
        <v>14.85</v>
      </c>
      <c r="M279" s="4">
        <f t="shared" si="12"/>
        <v>89.1</v>
      </c>
      <c r="N279" t="str">
        <f t="shared" si="13"/>
        <v>Excelsa</v>
      </c>
      <c r="O279" t="str">
        <f t="shared" si="14"/>
        <v>Light</v>
      </c>
      <c r="P279" t="str">
        <f>_xlfn.XLOOKUP(Table1[[#This Row],[Customer ID]],customers!$A$1:$A$1001,customers!$I$1:$I$1001,,0)</f>
        <v>No</v>
      </c>
    </row>
    <row r="280" spans="1:16" x14ac:dyDescent="0.3">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6">
        <f>INDEX(products!$A$1:$G$49,MATCH(orders!$D280,products!$A$1:$A$49,0),MATCH(orders!K$1,products!$A$1:$G$1,0))</f>
        <v>0.2</v>
      </c>
      <c r="L280" s="5">
        <f>INDEX(products!$A$1:$G$49,MATCH(orders!$D280,products!$A$1:$A$49,0),MATCH(orders!L$1,products!$A$1:$G$1,0))</f>
        <v>3.8849999999999998</v>
      </c>
      <c r="M280" s="4">
        <f t="shared" si="12"/>
        <v>7.77</v>
      </c>
      <c r="N280" t="str">
        <f t="shared" si="13"/>
        <v>Arabica</v>
      </c>
      <c r="O280" t="str">
        <f t="shared" si="14"/>
        <v>Light</v>
      </c>
      <c r="P280" t="str">
        <f>_xlfn.XLOOKUP(Table1[[#This Row],[Customer ID]],customers!$A$1:$A$1001,customers!$I$1:$I$1001,,0)</f>
        <v>Yes</v>
      </c>
    </row>
    <row r="281" spans="1:16" x14ac:dyDescent="0.3">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6">
        <f>INDEX(products!$A$1:$G$49,MATCH(orders!$D281,products!$A$1:$A$49,0),MATCH(orders!K$1,products!$A$1:$G$1,0))</f>
        <v>2.5</v>
      </c>
      <c r="L281" s="5">
        <f>INDEX(products!$A$1:$G$49,MATCH(orders!$D281,products!$A$1:$A$49,0),MATCH(orders!L$1,products!$A$1:$G$1,0))</f>
        <v>33.464999999999996</v>
      </c>
      <c r="M281" s="4">
        <f t="shared" si="12"/>
        <v>33.464999999999996</v>
      </c>
      <c r="N281" t="str">
        <f t="shared" si="13"/>
        <v>Librica</v>
      </c>
      <c r="O281" t="str">
        <f t="shared" si="14"/>
        <v>Medium</v>
      </c>
      <c r="P281" t="str">
        <f>_xlfn.XLOOKUP(Table1[[#This Row],[Customer ID]],customers!$A$1:$A$1001,customers!$I$1:$I$1001,,0)</f>
        <v>Yes</v>
      </c>
    </row>
    <row r="282" spans="1:16" x14ac:dyDescent="0.3">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6">
        <f>INDEX(products!$A$1:$G$49,MATCH(orders!$D282,products!$A$1:$A$49,0),MATCH(orders!K$1,products!$A$1:$G$1,0))</f>
        <v>0.5</v>
      </c>
      <c r="L282" s="5">
        <f>INDEX(products!$A$1:$G$49,MATCH(orders!$D282,products!$A$1:$A$49,0),MATCH(orders!L$1,products!$A$1:$G$1,0))</f>
        <v>8.25</v>
      </c>
      <c r="M282" s="4">
        <f t="shared" si="12"/>
        <v>41.25</v>
      </c>
      <c r="N282" t="str">
        <f t="shared" si="13"/>
        <v>Excelsa</v>
      </c>
      <c r="O282" t="str">
        <f t="shared" si="14"/>
        <v>Medium</v>
      </c>
      <c r="P282" t="str">
        <f>_xlfn.XLOOKUP(Table1[[#This Row],[Customer ID]],customers!$A$1:$A$1001,customers!$I$1:$I$1001,,0)</f>
        <v>Yes</v>
      </c>
    </row>
    <row r="283" spans="1:16" x14ac:dyDescent="0.3">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6">
        <f>INDEX(products!$A$1:$G$49,MATCH(orders!$D283,products!$A$1:$A$49,0),MATCH(orders!K$1,products!$A$1:$G$1,0))</f>
        <v>1</v>
      </c>
      <c r="L283" s="5">
        <f>INDEX(products!$A$1:$G$49,MATCH(orders!$D283,products!$A$1:$A$49,0),MATCH(orders!L$1,products!$A$1:$G$1,0))</f>
        <v>14.85</v>
      </c>
      <c r="M283" s="4">
        <f t="shared" si="12"/>
        <v>59.4</v>
      </c>
      <c r="N283" t="str">
        <f t="shared" si="13"/>
        <v>Excelsa</v>
      </c>
      <c r="O283" t="str">
        <f t="shared" si="14"/>
        <v>Light</v>
      </c>
      <c r="P283" t="str">
        <f>_xlfn.XLOOKUP(Table1[[#This Row],[Customer ID]],customers!$A$1:$A$1001,customers!$I$1:$I$1001,,0)</f>
        <v>Yes</v>
      </c>
    </row>
    <row r="284" spans="1:16" x14ac:dyDescent="0.3">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6">
        <f>INDEX(products!$A$1:$G$49,MATCH(orders!$D284,products!$A$1:$A$49,0),MATCH(orders!K$1,products!$A$1:$G$1,0))</f>
        <v>0.5</v>
      </c>
      <c r="L284" s="5">
        <f>INDEX(products!$A$1:$G$49,MATCH(orders!$D284,products!$A$1:$A$49,0),MATCH(orders!L$1,products!$A$1:$G$1,0))</f>
        <v>7.77</v>
      </c>
      <c r="M284" s="4">
        <f t="shared" si="12"/>
        <v>7.77</v>
      </c>
      <c r="N284" t="str">
        <f t="shared" si="13"/>
        <v>Arabica</v>
      </c>
      <c r="O284" t="str">
        <f t="shared" si="14"/>
        <v>Light</v>
      </c>
      <c r="P284" t="str">
        <f>_xlfn.XLOOKUP(Table1[[#This Row],[Customer ID]],customers!$A$1:$A$1001,customers!$I$1:$I$1001,,0)</f>
        <v>No</v>
      </c>
    </row>
    <row r="285" spans="1:16" x14ac:dyDescent="0.3">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6">
        <f>INDEX(products!$A$1:$G$49,MATCH(orders!$D285,products!$A$1:$A$49,0),MATCH(orders!K$1,products!$A$1:$G$1,0))</f>
        <v>0.5</v>
      </c>
      <c r="L285" s="5">
        <f>INDEX(products!$A$1:$G$49,MATCH(orders!$D285,products!$A$1:$A$49,0),MATCH(orders!L$1,products!$A$1:$G$1,0))</f>
        <v>5.3699999999999992</v>
      </c>
      <c r="M285" s="4">
        <f t="shared" si="12"/>
        <v>5.3699999999999992</v>
      </c>
      <c r="N285" t="str">
        <f t="shared" si="13"/>
        <v>Robusta</v>
      </c>
      <c r="O285" t="str">
        <f t="shared" si="14"/>
        <v>Dark</v>
      </c>
      <c r="P285" t="str">
        <f>_xlfn.XLOOKUP(Table1[[#This Row],[Customer ID]],customers!$A$1:$A$1001,customers!$I$1:$I$1001,,0)</f>
        <v>Yes</v>
      </c>
    </row>
    <row r="286" spans="1:16" x14ac:dyDescent="0.3">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6">
        <f>INDEX(products!$A$1:$G$49,MATCH(orders!$D286,products!$A$1:$A$49,0),MATCH(orders!K$1,products!$A$1:$G$1,0))</f>
        <v>2.5</v>
      </c>
      <c r="L286" s="5">
        <f>INDEX(products!$A$1:$G$49,MATCH(orders!$D286,products!$A$1:$A$49,0),MATCH(orders!L$1,products!$A$1:$G$1,0))</f>
        <v>31.624999999999996</v>
      </c>
      <c r="M286" s="4">
        <f t="shared" si="12"/>
        <v>94.874999999999986</v>
      </c>
      <c r="N286" t="str">
        <f t="shared" si="13"/>
        <v>Excelsa</v>
      </c>
      <c r="O286" t="str">
        <f t="shared" si="14"/>
        <v>Medium</v>
      </c>
      <c r="P286" t="str">
        <f>_xlfn.XLOOKUP(Table1[[#This Row],[Customer ID]],customers!$A$1:$A$1001,customers!$I$1:$I$1001,,0)</f>
        <v>No</v>
      </c>
    </row>
    <row r="287" spans="1:16" x14ac:dyDescent="0.3">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6">
        <f>INDEX(products!$A$1:$G$49,MATCH(orders!$D287,products!$A$1:$A$49,0),MATCH(orders!K$1,products!$A$1:$G$1,0))</f>
        <v>2.5</v>
      </c>
      <c r="L287" s="5">
        <f>INDEX(products!$A$1:$G$49,MATCH(orders!$D287,products!$A$1:$A$49,0),MATCH(orders!L$1,products!$A$1:$G$1,0))</f>
        <v>36.454999999999998</v>
      </c>
      <c r="M287" s="4">
        <f t="shared" si="12"/>
        <v>36.454999999999998</v>
      </c>
      <c r="N287" t="str">
        <f t="shared" si="13"/>
        <v>Librica</v>
      </c>
      <c r="O287" t="str">
        <f t="shared" si="14"/>
        <v>Light</v>
      </c>
      <c r="P287" t="str">
        <f>_xlfn.XLOOKUP(Table1[[#This Row],[Customer ID]],customers!$A$1:$A$1001,customers!$I$1:$I$1001,,0)</f>
        <v>No</v>
      </c>
    </row>
    <row r="288" spans="1:16" x14ac:dyDescent="0.3">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6">
        <f>INDEX(products!$A$1:$G$49,MATCH(orders!$D288,products!$A$1:$A$49,0),MATCH(orders!K$1,products!$A$1:$G$1,0))</f>
        <v>0.2</v>
      </c>
      <c r="L288" s="5">
        <f>INDEX(products!$A$1:$G$49,MATCH(orders!$D288,products!$A$1:$A$49,0),MATCH(orders!L$1,products!$A$1:$G$1,0))</f>
        <v>3.375</v>
      </c>
      <c r="M288" s="4">
        <f t="shared" si="12"/>
        <v>13.5</v>
      </c>
      <c r="N288" t="str">
        <f t="shared" si="13"/>
        <v>Arabica</v>
      </c>
      <c r="O288" t="str">
        <f t="shared" si="14"/>
        <v>Medium</v>
      </c>
      <c r="P288" t="str">
        <f>_xlfn.XLOOKUP(Table1[[#This Row],[Customer ID]],customers!$A$1:$A$1001,customers!$I$1:$I$1001,,0)</f>
        <v>Yes</v>
      </c>
    </row>
    <row r="289" spans="1:16" x14ac:dyDescent="0.3">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6">
        <f>INDEX(products!$A$1:$G$49,MATCH(orders!$D289,products!$A$1:$A$49,0),MATCH(orders!K$1,products!$A$1:$G$1,0))</f>
        <v>0.2</v>
      </c>
      <c r="L289" s="5">
        <f>INDEX(products!$A$1:$G$49,MATCH(orders!$D289,products!$A$1:$A$49,0),MATCH(orders!L$1,products!$A$1:$G$1,0))</f>
        <v>3.5849999999999995</v>
      </c>
      <c r="M289" s="4">
        <f t="shared" si="12"/>
        <v>14.339999999999998</v>
      </c>
      <c r="N289" t="str">
        <f t="shared" si="13"/>
        <v>Robusta</v>
      </c>
      <c r="O289" t="str">
        <f t="shared" si="14"/>
        <v>Light</v>
      </c>
      <c r="P289" t="str">
        <f>_xlfn.XLOOKUP(Table1[[#This Row],[Customer ID]],customers!$A$1:$A$1001,customers!$I$1:$I$1001,,0)</f>
        <v>No</v>
      </c>
    </row>
    <row r="290" spans="1:16" x14ac:dyDescent="0.3">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6">
        <f>INDEX(products!$A$1:$G$49,MATCH(orders!$D290,products!$A$1:$A$49,0),MATCH(orders!K$1,products!$A$1:$G$1,0))</f>
        <v>0.5</v>
      </c>
      <c r="L290" s="5">
        <f>INDEX(products!$A$1:$G$49,MATCH(orders!$D290,products!$A$1:$A$49,0),MATCH(orders!L$1,products!$A$1:$G$1,0))</f>
        <v>8.25</v>
      </c>
      <c r="M290" s="4">
        <f t="shared" si="12"/>
        <v>8.25</v>
      </c>
      <c r="N290" t="str">
        <f t="shared" si="13"/>
        <v>Excelsa</v>
      </c>
      <c r="O290" t="str">
        <f t="shared" si="14"/>
        <v>Medium</v>
      </c>
      <c r="P290" t="str">
        <f>_xlfn.XLOOKUP(Table1[[#This Row],[Customer ID]],customers!$A$1:$A$1001,customers!$I$1:$I$1001,,0)</f>
        <v>Yes</v>
      </c>
    </row>
    <row r="291" spans="1:16" x14ac:dyDescent="0.3">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6">
        <f>INDEX(products!$A$1:$G$49,MATCH(orders!$D291,products!$A$1:$A$49,0),MATCH(orders!K$1,products!$A$1:$G$1,0))</f>
        <v>0.2</v>
      </c>
      <c r="L291" s="5">
        <f>INDEX(products!$A$1:$G$49,MATCH(orders!$D291,products!$A$1:$A$49,0),MATCH(orders!L$1,products!$A$1:$G$1,0))</f>
        <v>2.6849999999999996</v>
      </c>
      <c r="M291" s="4">
        <f t="shared" si="12"/>
        <v>13.424999999999997</v>
      </c>
      <c r="N291" t="str">
        <f t="shared" si="13"/>
        <v>Robusta</v>
      </c>
      <c r="O291" t="str">
        <f t="shared" si="14"/>
        <v>Dark</v>
      </c>
      <c r="P291" t="str">
        <f>_xlfn.XLOOKUP(Table1[[#This Row],[Customer ID]],customers!$A$1:$A$1001,customers!$I$1:$I$1001,,0)</f>
        <v>Yes</v>
      </c>
    </row>
    <row r="292" spans="1:16" x14ac:dyDescent="0.3">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6">
        <f>INDEX(products!$A$1:$G$49,MATCH(orders!$D292,products!$A$1:$A$49,0),MATCH(orders!K$1,products!$A$1:$G$1,0))</f>
        <v>1</v>
      </c>
      <c r="L292" s="5">
        <f>INDEX(products!$A$1:$G$49,MATCH(orders!$D292,products!$A$1:$A$49,0),MATCH(orders!L$1,products!$A$1:$G$1,0))</f>
        <v>9.9499999999999993</v>
      </c>
      <c r="M292" s="4">
        <f t="shared" si="12"/>
        <v>49.75</v>
      </c>
      <c r="N292" t="str">
        <f t="shared" si="13"/>
        <v>Arabica</v>
      </c>
      <c r="O292" t="str">
        <f t="shared" si="14"/>
        <v>Dark</v>
      </c>
      <c r="P292" t="str">
        <f>_xlfn.XLOOKUP(Table1[[#This Row],[Customer ID]],customers!$A$1:$A$1001,customers!$I$1:$I$1001,,0)</f>
        <v>No</v>
      </c>
    </row>
    <row r="293" spans="1:16" x14ac:dyDescent="0.3">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6">
        <f>INDEX(products!$A$1:$G$49,MATCH(orders!$D293,products!$A$1:$A$49,0),MATCH(orders!K$1,products!$A$1:$G$1,0))</f>
        <v>0.5</v>
      </c>
      <c r="L293" s="5">
        <f>INDEX(products!$A$1:$G$49,MATCH(orders!$D293,products!$A$1:$A$49,0),MATCH(orders!L$1,products!$A$1:$G$1,0))</f>
        <v>8.25</v>
      </c>
      <c r="M293" s="4">
        <f t="shared" si="12"/>
        <v>16.5</v>
      </c>
      <c r="N293" t="str">
        <f t="shared" si="13"/>
        <v>Excelsa</v>
      </c>
      <c r="O293" t="str">
        <f t="shared" si="14"/>
        <v>Medium</v>
      </c>
      <c r="P293" t="str">
        <f>_xlfn.XLOOKUP(Table1[[#This Row],[Customer ID]],customers!$A$1:$A$1001,customers!$I$1:$I$1001,,0)</f>
        <v>No</v>
      </c>
    </row>
    <row r="294" spans="1:16" x14ac:dyDescent="0.3">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6">
        <f>INDEX(products!$A$1:$G$49,MATCH(orders!$D294,products!$A$1:$A$49,0),MATCH(orders!K$1,products!$A$1:$G$1,0))</f>
        <v>0.5</v>
      </c>
      <c r="L294" s="5">
        <f>INDEX(products!$A$1:$G$49,MATCH(orders!$D294,products!$A$1:$A$49,0),MATCH(orders!L$1,products!$A$1:$G$1,0))</f>
        <v>5.97</v>
      </c>
      <c r="M294" s="4">
        <f t="shared" si="12"/>
        <v>17.91</v>
      </c>
      <c r="N294" t="str">
        <f t="shared" si="13"/>
        <v>Arabica</v>
      </c>
      <c r="O294" t="str">
        <f t="shared" si="14"/>
        <v>Dark</v>
      </c>
      <c r="P294" t="str">
        <f>_xlfn.XLOOKUP(Table1[[#This Row],[Customer ID]],customers!$A$1:$A$1001,customers!$I$1:$I$1001,,0)</f>
        <v>No</v>
      </c>
    </row>
    <row r="295" spans="1:16" x14ac:dyDescent="0.3">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6">
        <f>INDEX(products!$A$1:$G$49,MATCH(orders!$D295,products!$A$1:$A$49,0),MATCH(orders!K$1,products!$A$1:$G$1,0))</f>
        <v>0.5</v>
      </c>
      <c r="L295" s="5">
        <f>INDEX(products!$A$1:$G$49,MATCH(orders!$D295,products!$A$1:$A$49,0),MATCH(orders!L$1,products!$A$1:$G$1,0))</f>
        <v>5.97</v>
      </c>
      <c r="M295" s="4">
        <f t="shared" si="12"/>
        <v>29.849999999999998</v>
      </c>
      <c r="N295" t="str">
        <f t="shared" si="13"/>
        <v>Arabica</v>
      </c>
      <c r="O295" t="str">
        <f t="shared" si="14"/>
        <v>Dark</v>
      </c>
      <c r="P295" t="str">
        <f>_xlfn.XLOOKUP(Table1[[#This Row],[Customer ID]],customers!$A$1:$A$1001,customers!$I$1:$I$1001,,0)</f>
        <v>No</v>
      </c>
    </row>
    <row r="296" spans="1:16" x14ac:dyDescent="0.3">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6">
        <f>INDEX(products!$A$1:$G$49,MATCH(orders!$D296,products!$A$1:$A$49,0),MATCH(orders!K$1,products!$A$1:$G$1,0))</f>
        <v>1</v>
      </c>
      <c r="L296" s="5">
        <f>INDEX(products!$A$1:$G$49,MATCH(orders!$D296,products!$A$1:$A$49,0),MATCH(orders!L$1,products!$A$1:$G$1,0))</f>
        <v>14.85</v>
      </c>
      <c r="M296" s="4">
        <f t="shared" si="12"/>
        <v>44.55</v>
      </c>
      <c r="N296" t="str">
        <f t="shared" si="13"/>
        <v>Excelsa</v>
      </c>
      <c r="O296" t="str">
        <f t="shared" si="14"/>
        <v>Light</v>
      </c>
      <c r="P296" t="str">
        <f>_xlfn.XLOOKUP(Table1[[#This Row],[Customer ID]],customers!$A$1:$A$1001,customers!$I$1:$I$1001,,0)</f>
        <v>No</v>
      </c>
    </row>
    <row r="297" spans="1:16" x14ac:dyDescent="0.3">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6">
        <f>INDEX(products!$A$1:$G$49,MATCH(orders!$D297,products!$A$1:$A$49,0),MATCH(orders!K$1,products!$A$1:$G$1,0))</f>
        <v>1</v>
      </c>
      <c r="L297" s="5">
        <f>INDEX(products!$A$1:$G$49,MATCH(orders!$D297,products!$A$1:$A$49,0),MATCH(orders!L$1,products!$A$1:$G$1,0))</f>
        <v>13.75</v>
      </c>
      <c r="M297" s="4">
        <f t="shared" si="12"/>
        <v>27.5</v>
      </c>
      <c r="N297" t="str">
        <f t="shared" si="13"/>
        <v>Excelsa</v>
      </c>
      <c r="O297" t="str">
        <f t="shared" si="14"/>
        <v>Medium</v>
      </c>
      <c r="P297" t="str">
        <f>_xlfn.XLOOKUP(Table1[[#This Row],[Customer ID]],customers!$A$1:$A$1001,customers!$I$1:$I$1001,,0)</f>
        <v>No</v>
      </c>
    </row>
    <row r="298" spans="1:16" x14ac:dyDescent="0.3">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6">
        <f>INDEX(products!$A$1:$G$49,MATCH(orders!$D298,products!$A$1:$A$49,0),MATCH(orders!K$1,products!$A$1:$G$1,0))</f>
        <v>0.5</v>
      </c>
      <c r="L298" s="5">
        <f>INDEX(products!$A$1:$G$49,MATCH(orders!$D298,products!$A$1:$A$49,0),MATCH(orders!L$1,products!$A$1:$G$1,0))</f>
        <v>5.97</v>
      </c>
      <c r="M298" s="4">
        <f t="shared" si="12"/>
        <v>35.82</v>
      </c>
      <c r="N298" t="str">
        <f t="shared" si="13"/>
        <v>Robusta</v>
      </c>
      <c r="O298" t="str">
        <f t="shared" si="14"/>
        <v>Medium</v>
      </c>
      <c r="P298" t="str">
        <f>_xlfn.XLOOKUP(Table1[[#This Row],[Customer ID]],customers!$A$1:$A$1001,customers!$I$1:$I$1001,,0)</f>
        <v>Yes</v>
      </c>
    </row>
    <row r="299" spans="1:16" x14ac:dyDescent="0.3">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6">
        <f>INDEX(products!$A$1:$G$49,MATCH(orders!$D299,products!$A$1:$A$49,0),MATCH(orders!K$1,products!$A$1:$G$1,0))</f>
        <v>0.5</v>
      </c>
      <c r="L299" s="5">
        <f>INDEX(products!$A$1:$G$49,MATCH(orders!$D299,products!$A$1:$A$49,0),MATCH(orders!L$1,products!$A$1:$G$1,0))</f>
        <v>5.3699999999999992</v>
      </c>
      <c r="M299" s="4">
        <f t="shared" si="12"/>
        <v>16.11</v>
      </c>
      <c r="N299" t="str">
        <f t="shared" si="13"/>
        <v>Robusta</v>
      </c>
      <c r="O299" t="str">
        <f t="shared" si="14"/>
        <v>Dark</v>
      </c>
      <c r="P299" t="str">
        <f>_xlfn.XLOOKUP(Table1[[#This Row],[Customer ID]],customers!$A$1:$A$1001,customers!$I$1:$I$1001,,0)</f>
        <v>Yes</v>
      </c>
    </row>
    <row r="300" spans="1:16" x14ac:dyDescent="0.3">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6">
        <f>INDEX(products!$A$1:$G$49,MATCH(orders!$D300,products!$A$1:$A$49,0),MATCH(orders!K$1,products!$A$1:$G$1,0))</f>
        <v>0.2</v>
      </c>
      <c r="L300" s="5">
        <f>INDEX(products!$A$1:$G$49,MATCH(orders!$D300,products!$A$1:$A$49,0),MATCH(orders!L$1,products!$A$1:$G$1,0))</f>
        <v>4.4550000000000001</v>
      </c>
      <c r="M300" s="4">
        <f t="shared" si="12"/>
        <v>26.73</v>
      </c>
      <c r="N300" t="str">
        <f t="shared" si="13"/>
        <v>Excelsa</v>
      </c>
      <c r="O300" t="str">
        <f t="shared" si="14"/>
        <v>Light</v>
      </c>
      <c r="P300" t="str">
        <f>_xlfn.XLOOKUP(Table1[[#This Row],[Customer ID]],customers!$A$1:$A$1001,customers!$I$1:$I$1001,,0)</f>
        <v>Yes</v>
      </c>
    </row>
    <row r="301" spans="1:16" x14ac:dyDescent="0.3">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6">
        <f>INDEX(products!$A$1:$G$49,MATCH(orders!$D301,products!$A$1:$A$49,0),MATCH(orders!K$1,products!$A$1:$G$1,0))</f>
        <v>2.5</v>
      </c>
      <c r="L301" s="5">
        <f>INDEX(products!$A$1:$G$49,MATCH(orders!$D301,products!$A$1:$A$49,0),MATCH(orders!L$1,products!$A$1:$G$1,0))</f>
        <v>34.154999999999994</v>
      </c>
      <c r="M301" s="4">
        <f t="shared" si="12"/>
        <v>204.92999999999995</v>
      </c>
      <c r="N301" t="str">
        <f t="shared" si="13"/>
        <v>Excelsa</v>
      </c>
      <c r="O301" t="str">
        <f t="shared" si="14"/>
        <v>Light</v>
      </c>
      <c r="P301" t="str">
        <f>_xlfn.XLOOKUP(Table1[[#This Row],[Customer ID]],customers!$A$1:$A$1001,customers!$I$1:$I$1001,,0)</f>
        <v>Yes</v>
      </c>
    </row>
    <row r="302" spans="1:16" x14ac:dyDescent="0.3">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6">
        <f>INDEX(products!$A$1:$G$49,MATCH(orders!$D302,products!$A$1:$A$49,0),MATCH(orders!K$1,products!$A$1:$G$1,0))</f>
        <v>1</v>
      </c>
      <c r="L302" s="5">
        <f>INDEX(products!$A$1:$G$49,MATCH(orders!$D302,products!$A$1:$A$49,0),MATCH(orders!L$1,products!$A$1:$G$1,0))</f>
        <v>12.95</v>
      </c>
      <c r="M302" s="4">
        <f t="shared" si="12"/>
        <v>38.849999999999994</v>
      </c>
      <c r="N302" t="str">
        <f t="shared" si="13"/>
        <v>Arabica</v>
      </c>
      <c r="O302" t="str">
        <f t="shared" si="14"/>
        <v>Light</v>
      </c>
      <c r="P302" t="str">
        <f>_xlfn.XLOOKUP(Table1[[#This Row],[Customer ID]],customers!$A$1:$A$1001,customers!$I$1:$I$1001,,0)</f>
        <v>Yes</v>
      </c>
    </row>
    <row r="303" spans="1:16" x14ac:dyDescent="0.3">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6">
        <f>INDEX(products!$A$1:$G$49,MATCH(orders!$D303,products!$A$1:$A$49,0),MATCH(orders!K$1,products!$A$1:$G$1,0))</f>
        <v>0.2</v>
      </c>
      <c r="L303" s="5">
        <f>INDEX(products!$A$1:$G$49,MATCH(orders!$D303,products!$A$1:$A$49,0),MATCH(orders!L$1,products!$A$1:$G$1,0))</f>
        <v>3.8849999999999998</v>
      </c>
      <c r="M303" s="4">
        <f t="shared" si="12"/>
        <v>15.54</v>
      </c>
      <c r="N303" t="str">
        <f t="shared" si="13"/>
        <v>Librica</v>
      </c>
      <c r="O303" t="str">
        <f t="shared" si="14"/>
        <v>Dark</v>
      </c>
      <c r="P303" t="str">
        <f>_xlfn.XLOOKUP(Table1[[#This Row],[Customer ID]],customers!$A$1:$A$1001,customers!$I$1:$I$1001,,0)</f>
        <v>Yes</v>
      </c>
    </row>
    <row r="304" spans="1:16" x14ac:dyDescent="0.3">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6">
        <f>INDEX(products!$A$1:$G$49,MATCH(orders!$D304,products!$A$1:$A$49,0),MATCH(orders!K$1,products!$A$1:$G$1,0))</f>
        <v>0.5</v>
      </c>
      <c r="L304" s="5">
        <f>INDEX(products!$A$1:$G$49,MATCH(orders!$D304,products!$A$1:$A$49,0),MATCH(orders!L$1,products!$A$1:$G$1,0))</f>
        <v>6.75</v>
      </c>
      <c r="M304" s="4">
        <f t="shared" si="12"/>
        <v>6.75</v>
      </c>
      <c r="N304" t="str">
        <f t="shared" si="13"/>
        <v>Arabica</v>
      </c>
      <c r="O304" t="str">
        <f t="shared" si="14"/>
        <v>Medium</v>
      </c>
      <c r="P304" t="str">
        <f>_xlfn.XLOOKUP(Table1[[#This Row],[Customer ID]],customers!$A$1:$A$1001,customers!$I$1:$I$1001,,0)</f>
        <v>No</v>
      </c>
    </row>
    <row r="305" spans="1:16" x14ac:dyDescent="0.3">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6">
        <f>INDEX(products!$A$1:$G$49,MATCH(orders!$D305,products!$A$1:$A$49,0),MATCH(orders!K$1,products!$A$1:$G$1,0))</f>
        <v>2.5</v>
      </c>
      <c r="L305" s="5">
        <f>INDEX(products!$A$1:$G$49,MATCH(orders!$D305,products!$A$1:$A$49,0),MATCH(orders!L$1,products!$A$1:$G$1,0))</f>
        <v>27.945</v>
      </c>
      <c r="M305" s="4">
        <f t="shared" si="12"/>
        <v>111.78</v>
      </c>
      <c r="N305" t="str">
        <f t="shared" si="13"/>
        <v>Excelsa</v>
      </c>
      <c r="O305" t="str">
        <f t="shared" si="14"/>
        <v>Dark</v>
      </c>
      <c r="P305" t="str">
        <f>_xlfn.XLOOKUP(Table1[[#This Row],[Customer ID]],customers!$A$1:$A$1001,customers!$I$1:$I$1001,,0)</f>
        <v>Yes</v>
      </c>
    </row>
    <row r="306" spans="1:16" x14ac:dyDescent="0.3">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6">
        <f>INDEX(products!$A$1:$G$49,MATCH(orders!$D306,products!$A$1:$A$49,0),MATCH(orders!K$1,products!$A$1:$G$1,0))</f>
        <v>0.2</v>
      </c>
      <c r="L306" s="5">
        <f>INDEX(products!$A$1:$G$49,MATCH(orders!$D306,products!$A$1:$A$49,0),MATCH(orders!L$1,products!$A$1:$G$1,0))</f>
        <v>3.8849999999999998</v>
      </c>
      <c r="M306" s="4">
        <f t="shared" si="12"/>
        <v>3.8849999999999998</v>
      </c>
      <c r="N306" t="str">
        <f t="shared" si="13"/>
        <v>Arabica</v>
      </c>
      <c r="O306" t="str">
        <f t="shared" si="14"/>
        <v>Light</v>
      </c>
      <c r="P306" t="str">
        <f>_xlfn.XLOOKUP(Table1[[#This Row],[Customer ID]],customers!$A$1:$A$1001,customers!$I$1:$I$1001,,0)</f>
        <v>Yes</v>
      </c>
    </row>
    <row r="307" spans="1:16" x14ac:dyDescent="0.3">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6">
        <f>INDEX(products!$A$1:$G$49,MATCH(orders!$D307,products!$A$1:$A$49,0),MATCH(orders!K$1,products!$A$1:$G$1,0))</f>
        <v>0.2</v>
      </c>
      <c r="L307" s="5">
        <f>INDEX(products!$A$1:$G$49,MATCH(orders!$D307,products!$A$1:$A$49,0),MATCH(orders!L$1,products!$A$1:$G$1,0))</f>
        <v>4.3650000000000002</v>
      </c>
      <c r="M307" s="4">
        <f t="shared" si="12"/>
        <v>21.825000000000003</v>
      </c>
      <c r="N307" t="str">
        <f t="shared" si="13"/>
        <v>Librica</v>
      </c>
      <c r="O307" t="str">
        <f t="shared" si="14"/>
        <v>Medium</v>
      </c>
      <c r="P307" t="str">
        <f>_xlfn.XLOOKUP(Table1[[#This Row],[Customer ID]],customers!$A$1:$A$1001,customers!$I$1:$I$1001,,0)</f>
        <v>No</v>
      </c>
    </row>
    <row r="308" spans="1:16" x14ac:dyDescent="0.3">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6">
        <f>INDEX(products!$A$1:$G$49,MATCH(orders!$D308,products!$A$1:$A$49,0),MATCH(orders!K$1,products!$A$1:$G$1,0))</f>
        <v>0.2</v>
      </c>
      <c r="L308" s="5">
        <f>INDEX(products!$A$1:$G$49,MATCH(orders!$D308,products!$A$1:$A$49,0),MATCH(orders!L$1,products!$A$1:$G$1,0))</f>
        <v>2.9849999999999999</v>
      </c>
      <c r="M308" s="4">
        <f t="shared" si="12"/>
        <v>14.924999999999999</v>
      </c>
      <c r="N308" t="str">
        <f t="shared" si="13"/>
        <v>Robusta</v>
      </c>
      <c r="O308" t="str">
        <f t="shared" si="14"/>
        <v>Medium</v>
      </c>
      <c r="P308" t="str">
        <f>_xlfn.XLOOKUP(Table1[[#This Row],[Customer ID]],customers!$A$1:$A$1001,customers!$I$1:$I$1001,,0)</f>
        <v>No</v>
      </c>
    </row>
    <row r="309" spans="1:16" x14ac:dyDescent="0.3">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6">
        <f>INDEX(products!$A$1:$G$49,MATCH(orders!$D309,products!$A$1:$A$49,0),MATCH(orders!K$1,products!$A$1:$G$1,0))</f>
        <v>1</v>
      </c>
      <c r="L309" s="5">
        <f>INDEX(products!$A$1:$G$49,MATCH(orders!$D309,products!$A$1:$A$49,0),MATCH(orders!L$1,products!$A$1:$G$1,0))</f>
        <v>11.25</v>
      </c>
      <c r="M309" s="4">
        <f t="shared" si="12"/>
        <v>33.75</v>
      </c>
      <c r="N309" t="str">
        <f t="shared" si="13"/>
        <v>Arabica</v>
      </c>
      <c r="O309" t="str">
        <f t="shared" si="14"/>
        <v>Medium</v>
      </c>
      <c r="P309" t="str">
        <f>_xlfn.XLOOKUP(Table1[[#This Row],[Customer ID]],customers!$A$1:$A$1001,customers!$I$1:$I$1001,,0)</f>
        <v>Yes</v>
      </c>
    </row>
    <row r="310" spans="1:16" x14ac:dyDescent="0.3">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6">
        <f>INDEX(products!$A$1:$G$49,MATCH(orders!$D310,products!$A$1:$A$49,0),MATCH(orders!K$1,products!$A$1:$G$1,0))</f>
        <v>1</v>
      </c>
      <c r="L310" s="5">
        <f>INDEX(products!$A$1:$G$49,MATCH(orders!$D310,products!$A$1:$A$49,0),MATCH(orders!L$1,products!$A$1:$G$1,0))</f>
        <v>11.25</v>
      </c>
      <c r="M310" s="4">
        <f t="shared" si="12"/>
        <v>33.75</v>
      </c>
      <c r="N310" t="str">
        <f t="shared" si="13"/>
        <v>Arabica</v>
      </c>
      <c r="O310" t="str">
        <f t="shared" si="14"/>
        <v>Medium</v>
      </c>
      <c r="P310" t="str">
        <f>_xlfn.XLOOKUP(Table1[[#This Row],[Customer ID]],customers!$A$1:$A$1001,customers!$I$1:$I$1001,,0)</f>
        <v>No</v>
      </c>
    </row>
    <row r="311" spans="1:16" x14ac:dyDescent="0.3">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6">
        <f>INDEX(products!$A$1:$G$49,MATCH(orders!$D311,products!$A$1:$A$49,0),MATCH(orders!K$1,products!$A$1:$G$1,0))</f>
        <v>0.2</v>
      </c>
      <c r="L311" s="5">
        <f>INDEX(products!$A$1:$G$49,MATCH(orders!$D311,products!$A$1:$A$49,0),MATCH(orders!L$1,products!$A$1:$G$1,0))</f>
        <v>4.3650000000000002</v>
      </c>
      <c r="M311" s="4">
        <f t="shared" si="12"/>
        <v>26.19</v>
      </c>
      <c r="N311" t="str">
        <f t="shared" si="13"/>
        <v>Librica</v>
      </c>
      <c r="O311" t="str">
        <f t="shared" si="14"/>
        <v>Medium</v>
      </c>
      <c r="P311" t="str">
        <f>_xlfn.XLOOKUP(Table1[[#This Row],[Customer ID]],customers!$A$1:$A$1001,customers!$I$1:$I$1001,,0)</f>
        <v>Yes</v>
      </c>
    </row>
    <row r="312" spans="1:16" x14ac:dyDescent="0.3">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6">
        <f>INDEX(products!$A$1:$G$49,MATCH(orders!$D312,products!$A$1:$A$49,0),MATCH(orders!K$1,products!$A$1:$G$1,0))</f>
        <v>1</v>
      </c>
      <c r="L312" s="5">
        <f>INDEX(products!$A$1:$G$49,MATCH(orders!$D312,products!$A$1:$A$49,0),MATCH(orders!L$1,products!$A$1:$G$1,0))</f>
        <v>14.85</v>
      </c>
      <c r="M312" s="4">
        <f t="shared" si="12"/>
        <v>14.85</v>
      </c>
      <c r="N312" t="str">
        <f t="shared" si="13"/>
        <v>Excelsa</v>
      </c>
      <c r="O312" t="str">
        <f t="shared" si="14"/>
        <v>Light</v>
      </c>
      <c r="P312" t="str">
        <f>_xlfn.XLOOKUP(Table1[[#This Row],[Customer ID]],customers!$A$1:$A$1001,customers!$I$1:$I$1001,,0)</f>
        <v>No</v>
      </c>
    </row>
    <row r="313" spans="1:16" x14ac:dyDescent="0.3">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6">
        <f>INDEX(products!$A$1:$G$49,MATCH(orders!$D313,products!$A$1:$A$49,0),MATCH(orders!K$1,products!$A$1:$G$1,0))</f>
        <v>2.5</v>
      </c>
      <c r="L313" s="5">
        <f>INDEX(products!$A$1:$G$49,MATCH(orders!$D313,products!$A$1:$A$49,0),MATCH(orders!L$1,products!$A$1:$G$1,0))</f>
        <v>31.624999999999996</v>
      </c>
      <c r="M313" s="4">
        <f t="shared" si="12"/>
        <v>189.74999999999997</v>
      </c>
      <c r="N313" t="str">
        <f t="shared" si="13"/>
        <v>Excelsa</v>
      </c>
      <c r="O313" t="str">
        <f t="shared" si="14"/>
        <v>Medium</v>
      </c>
      <c r="P313" t="str">
        <f>_xlfn.XLOOKUP(Table1[[#This Row],[Customer ID]],customers!$A$1:$A$1001,customers!$I$1:$I$1001,,0)</f>
        <v>Yes</v>
      </c>
    </row>
    <row r="314" spans="1:16" x14ac:dyDescent="0.3">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6">
        <f>INDEX(products!$A$1:$G$49,MATCH(orders!$D314,products!$A$1:$A$49,0),MATCH(orders!K$1,products!$A$1:$G$1,0))</f>
        <v>0.5</v>
      </c>
      <c r="L314" s="5">
        <f>INDEX(products!$A$1:$G$49,MATCH(orders!$D314,products!$A$1:$A$49,0),MATCH(orders!L$1,products!$A$1:$G$1,0))</f>
        <v>5.97</v>
      </c>
      <c r="M314" s="4">
        <f t="shared" si="12"/>
        <v>5.97</v>
      </c>
      <c r="N314" t="str">
        <f t="shared" si="13"/>
        <v>Robusta</v>
      </c>
      <c r="O314" t="str">
        <f t="shared" si="14"/>
        <v>Medium</v>
      </c>
      <c r="P314" t="str">
        <f>_xlfn.XLOOKUP(Table1[[#This Row],[Customer ID]],customers!$A$1:$A$1001,customers!$I$1:$I$1001,,0)</f>
        <v>Yes</v>
      </c>
    </row>
    <row r="315" spans="1:16" x14ac:dyDescent="0.3">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6">
        <f>INDEX(products!$A$1:$G$49,MATCH(orders!$D315,products!$A$1:$A$49,0),MATCH(orders!K$1,products!$A$1:$G$1,0))</f>
        <v>1</v>
      </c>
      <c r="L315" s="5">
        <f>INDEX(products!$A$1:$G$49,MATCH(orders!$D315,products!$A$1:$A$49,0),MATCH(orders!L$1,products!$A$1:$G$1,0))</f>
        <v>9.9499999999999993</v>
      </c>
      <c r="M315" s="4">
        <f t="shared" si="12"/>
        <v>29.849999999999998</v>
      </c>
      <c r="N315" t="str">
        <f t="shared" si="13"/>
        <v>Robusta</v>
      </c>
      <c r="O315" t="str">
        <f t="shared" si="14"/>
        <v>Medium</v>
      </c>
      <c r="P315" t="str">
        <f>_xlfn.XLOOKUP(Table1[[#This Row],[Customer ID]],customers!$A$1:$A$1001,customers!$I$1:$I$1001,,0)</f>
        <v>Yes</v>
      </c>
    </row>
    <row r="316" spans="1:16" x14ac:dyDescent="0.3">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6">
        <f>INDEX(products!$A$1:$G$49,MATCH(orders!$D316,products!$A$1:$A$49,0),MATCH(orders!K$1,products!$A$1:$G$1,0))</f>
        <v>1</v>
      </c>
      <c r="L316" s="5">
        <f>INDEX(products!$A$1:$G$49,MATCH(orders!$D316,products!$A$1:$A$49,0),MATCH(orders!L$1,products!$A$1:$G$1,0))</f>
        <v>8.9499999999999993</v>
      </c>
      <c r="M316" s="4">
        <f t="shared" si="12"/>
        <v>44.75</v>
      </c>
      <c r="N316" t="str">
        <f t="shared" si="13"/>
        <v>Robusta</v>
      </c>
      <c r="O316" t="str">
        <f t="shared" si="14"/>
        <v>Dark</v>
      </c>
      <c r="P316" t="str">
        <f>_xlfn.XLOOKUP(Table1[[#This Row],[Customer ID]],customers!$A$1:$A$1001,customers!$I$1:$I$1001,,0)</f>
        <v>No</v>
      </c>
    </row>
    <row r="317" spans="1:16" x14ac:dyDescent="0.3">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6">
        <f>INDEX(products!$A$1:$G$49,MATCH(orders!$D317,products!$A$1:$A$49,0),MATCH(orders!K$1,products!$A$1:$G$1,0))</f>
        <v>2.5</v>
      </c>
      <c r="L317" s="5">
        <f>INDEX(products!$A$1:$G$49,MATCH(orders!$D317,products!$A$1:$A$49,0),MATCH(orders!L$1,products!$A$1:$G$1,0))</f>
        <v>34.154999999999994</v>
      </c>
      <c r="M317" s="4">
        <f t="shared" si="12"/>
        <v>34.154999999999994</v>
      </c>
      <c r="N317" t="str">
        <f t="shared" si="13"/>
        <v>Excelsa</v>
      </c>
      <c r="O317" t="str">
        <f t="shared" si="14"/>
        <v>Light</v>
      </c>
      <c r="P317" t="str">
        <f>_xlfn.XLOOKUP(Table1[[#This Row],[Customer ID]],customers!$A$1:$A$1001,customers!$I$1:$I$1001,,0)</f>
        <v>Yes</v>
      </c>
    </row>
    <row r="318" spans="1:16" x14ac:dyDescent="0.3">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6">
        <f>INDEX(products!$A$1:$G$49,MATCH(orders!$D318,products!$A$1:$A$49,0),MATCH(orders!K$1,products!$A$1:$G$1,0))</f>
        <v>2.5</v>
      </c>
      <c r="L318" s="5">
        <f>INDEX(products!$A$1:$G$49,MATCH(orders!$D318,products!$A$1:$A$49,0),MATCH(orders!L$1,products!$A$1:$G$1,0))</f>
        <v>34.154999999999994</v>
      </c>
      <c r="M318" s="4">
        <f t="shared" si="12"/>
        <v>204.92999999999995</v>
      </c>
      <c r="N318" t="str">
        <f t="shared" si="13"/>
        <v>Excelsa</v>
      </c>
      <c r="O318" t="str">
        <f t="shared" si="14"/>
        <v>Light</v>
      </c>
      <c r="P318" t="str">
        <f>_xlfn.XLOOKUP(Table1[[#This Row],[Customer ID]],customers!$A$1:$A$1001,customers!$I$1:$I$1001,,0)</f>
        <v>No</v>
      </c>
    </row>
    <row r="319" spans="1:16" x14ac:dyDescent="0.3">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6">
        <f>INDEX(products!$A$1:$G$49,MATCH(orders!$D319,products!$A$1:$A$49,0),MATCH(orders!K$1,products!$A$1:$G$1,0))</f>
        <v>0.5</v>
      </c>
      <c r="L319" s="5">
        <f>INDEX(products!$A$1:$G$49,MATCH(orders!$D319,products!$A$1:$A$49,0),MATCH(orders!L$1,products!$A$1:$G$1,0))</f>
        <v>7.29</v>
      </c>
      <c r="M319" s="4">
        <f t="shared" si="12"/>
        <v>21.87</v>
      </c>
      <c r="N319" t="str">
        <f t="shared" si="13"/>
        <v>Excelsa</v>
      </c>
      <c r="O319" t="str">
        <f t="shared" si="14"/>
        <v>Dark</v>
      </c>
      <c r="P319" t="str">
        <f>_xlfn.XLOOKUP(Table1[[#This Row],[Customer ID]],customers!$A$1:$A$1001,customers!$I$1:$I$1001,,0)</f>
        <v>No</v>
      </c>
    </row>
    <row r="320" spans="1:16" x14ac:dyDescent="0.3">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6">
        <f>INDEX(products!$A$1:$G$49,MATCH(orders!$D320,products!$A$1:$A$49,0),MATCH(orders!K$1,products!$A$1:$G$1,0))</f>
        <v>2.5</v>
      </c>
      <c r="L320" s="5">
        <f>INDEX(products!$A$1:$G$49,MATCH(orders!$D320,products!$A$1:$A$49,0),MATCH(orders!L$1,products!$A$1:$G$1,0))</f>
        <v>25.874999999999996</v>
      </c>
      <c r="M320" s="4">
        <f t="shared" si="12"/>
        <v>51.749999999999993</v>
      </c>
      <c r="N320" t="str">
        <f t="shared" si="13"/>
        <v>Arabica</v>
      </c>
      <c r="O320" t="str">
        <f t="shared" si="14"/>
        <v>Medium</v>
      </c>
      <c r="P320" t="str">
        <f>_xlfn.XLOOKUP(Table1[[#This Row],[Customer ID]],customers!$A$1:$A$1001,customers!$I$1:$I$1001,,0)</f>
        <v>Yes</v>
      </c>
    </row>
    <row r="321" spans="1:16" x14ac:dyDescent="0.3">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6">
        <f>INDEX(products!$A$1:$G$49,MATCH(orders!$D321,products!$A$1:$A$49,0),MATCH(orders!K$1,products!$A$1:$G$1,0))</f>
        <v>0.2</v>
      </c>
      <c r="L321" s="5">
        <f>INDEX(products!$A$1:$G$49,MATCH(orders!$D321,products!$A$1:$A$49,0),MATCH(orders!L$1,products!$A$1:$G$1,0))</f>
        <v>4.125</v>
      </c>
      <c r="M321" s="4">
        <f t="shared" si="12"/>
        <v>8.25</v>
      </c>
      <c r="N321" t="str">
        <f t="shared" si="13"/>
        <v>Excelsa</v>
      </c>
      <c r="O321" t="str">
        <f t="shared" si="14"/>
        <v>Medium</v>
      </c>
      <c r="P321" t="str">
        <f>_xlfn.XLOOKUP(Table1[[#This Row],[Customer ID]],customers!$A$1:$A$1001,customers!$I$1:$I$1001,,0)</f>
        <v>Yes</v>
      </c>
    </row>
    <row r="322" spans="1:16" x14ac:dyDescent="0.3">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6">
        <f>INDEX(products!$A$1:$G$49,MATCH(orders!$D322,products!$A$1:$A$49,0),MATCH(orders!K$1,products!$A$1:$G$1,0))</f>
        <v>0.2</v>
      </c>
      <c r="L322" s="5">
        <f>INDEX(products!$A$1:$G$49,MATCH(orders!$D322,products!$A$1:$A$49,0),MATCH(orders!L$1,products!$A$1:$G$1,0))</f>
        <v>3.8849999999999998</v>
      </c>
      <c r="M322" s="4">
        <f t="shared" si="12"/>
        <v>19.424999999999997</v>
      </c>
      <c r="N322" t="str">
        <f t="shared" si="13"/>
        <v>Arabica</v>
      </c>
      <c r="O322" t="str">
        <f t="shared" si="14"/>
        <v>Light</v>
      </c>
      <c r="P322" t="str">
        <f>_xlfn.XLOOKUP(Table1[[#This Row],[Customer ID]],customers!$A$1:$A$1001,customers!$I$1:$I$1001,,0)</f>
        <v>Yes</v>
      </c>
    </row>
    <row r="323" spans="1:16" x14ac:dyDescent="0.3">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6">
        <f>INDEX(products!$A$1:$G$49,MATCH(orders!$D323,products!$A$1:$A$49,0),MATCH(orders!K$1,products!$A$1:$G$1,0))</f>
        <v>0.2</v>
      </c>
      <c r="L323" s="5">
        <f>INDEX(products!$A$1:$G$49,MATCH(orders!$D323,products!$A$1:$A$49,0),MATCH(orders!L$1,products!$A$1:$G$1,0))</f>
        <v>3.375</v>
      </c>
      <c r="M323" s="4">
        <f t="shared" ref="M323:M386" si="15">L323*E323</f>
        <v>20.25</v>
      </c>
      <c r="N323" t="str">
        <f t="shared" ref="N323:N386" si="16">IF(I323="Rob","Robusta",IF(I323="Exc","Excelsa",IF(I323="Ara","Arabica",IF(I323="Lib","Librica",""))))</f>
        <v>Arabica</v>
      </c>
      <c r="O323" t="str">
        <f t="shared" ref="O323:O386" si="17">IF(J323="M","Medium",IF(J323="L","Light",IF(J323="D","Dark","")))</f>
        <v>Medium</v>
      </c>
      <c r="P323" t="str">
        <f>_xlfn.XLOOKUP(Table1[[#This Row],[Customer ID]],customers!$A$1:$A$1001,customers!$I$1:$I$1001,,0)</f>
        <v>Yes</v>
      </c>
    </row>
    <row r="324" spans="1:16" x14ac:dyDescent="0.3">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6">
        <f>INDEX(products!$A$1:$G$49,MATCH(orders!$D324,products!$A$1:$A$49,0),MATCH(orders!K$1,products!$A$1:$G$1,0))</f>
        <v>0.5</v>
      </c>
      <c r="L324" s="5">
        <f>INDEX(products!$A$1:$G$49,MATCH(orders!$D324,products!$A$1:$A$49,0),MATCH(orders!L$1,products!$A$1:$G$1,0))</f>
        <v>7.77</v>
      </c>
      <c r="M324" s="4">
        <f t="shared" si="15"/>
        <v>23.31</v>
      </c>
      <c r="N324" t="str">
        <f t="shared" si="16"/>
        <v>Librica</v>
      </c>
      <c r="O324" t="str">
        <f t="shared" si="17"/>
        <v>Dark</v>
      </c>
      <c r="P324" t="str">
        <f>_xlfn.XLOOKUP(Table1[[#This Row],[Customer ID]],customers!$A$1:$A$1001,customers!$I$1:$I$1001,,0)</f>
        <v>No</v>
      </c>
    </row>
    <row r="325" spans="1:16" x14ac:dyDescent="0.3">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6">
        <f>INDEX(products!$A$1:$G$49,MATCH(orders!$D325,products!$A$1:$A$49,0),MATCH(orders!K$1,products!$A$1:$G$1,0))</f>
        <v>0.2</v>
      </c>
      <c r="L325" s="5">
        <f>INDEX(products!$A$1:$G$49,MATCH(orders!$D325,products!$A$1:$A$49,0),MATCH(orders!L$1,products!$A$1:$G$1,0))</f>
        <v>3.645</v>
      </c>
      <c r="M325" s="4">
        <f t="shared" si="15"/>
        <v>18.225000000000001</v>
      </c>
      <c r="N325" t="str">
        <f t="shared" si="16"/>
        <v>Excelsa</v>
      </c>
      <c r="O325" t="str">
        <f t="shared" si="17"/>
        <v>Dark</v>
      </c>
      <c r="P325" t="str">
        <f>_xlfn.XLOOKUP(Table1[[#This Row],[Customer ID]],customers!$A$1:$A$1001,customers!$I$1:$I$1001,,0)</f>
        <v>Yes</v>
      </c>
    </row>
    <row r="326" spans="1:16" x14ac:dyDescent="0.3">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6">
        <f>INDEX(products!$A$1:$G$49,MATCH(orders!$D326,products!$A$1:$A$49,0),MATCH(orders!K$1,products!$A$1:$G$1,0))</f>
        <v>1</v>
      </c>
      <c r="L326" s="5">
        <f>INDEX(products!$A$1:$G$49,MATCH(orders!$D326,products!$A$1:$A$49,0),MATCH(orders!L$1,products!$A$1:$G$1,0))</f>
        <v>13.75</v>
      </c>
      <c r="M326" s="4">
        <f t="shared" si="15"/>
        <v>13.75</v>
      </c>
      <c r="N326" t="str">
        <f t="shared" si="16"/>
        <v>Excelsa</v>
      </c>
      <c r="O326" t="str">
        <f t="shared" si="17"/>
        <v>Medium</v>
      </c>
      <c r="P326" t="str">
        <f>_xlfn.XLOOKUP(Table1[[#This Row],[Customer ID]],customers!$A$1:$A$1001,customers!$I$1:$I$1001,,0)</f>
        <v>No</v>
      </c>
    </row>
    <row r="327" spans="1:16" x14ac:dyDescent="0.3">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6">
        <f>INDEX(products!$A$1:$G$49,MATCH(orders!$D327,products!$A$1:$A$49,0),MATCH(orders!K$1,products!$A$1:$G$1,0))</f>
        <v>2.5</v>
      </c>
      <c r="L327" s="5">
        <f>INDEX(products!$A$1:$G$49,MATCH(orders!$D327,products!$A$1:$A$49,0),MATCH(orders!L$1,products!$A$1:$G$1,0))</f>
        <v>29.784999999999997</v>
      </c>
      <c r="M327" s="4">
        <f t="shared" si="15"/>
        <v>29.784999999999997</v>
      </c>
      <c r="N327" t="str">
        <f t="shared" si="16"/>
        <v>Arabica</v>
      </c>
      <c r="O327" t="str">
        <f t="shared" si="17"/>
        <v>Light</v>
      </c>
      <c r="P327" t="str">
        <f>_xlfn.XLOOKUP(Table1[[#This Row],[Customer ID]],customers!$A$1:$A$1001,customers!$I$1:$I$1001,,0)</f>
        <v>Yes</v>
      </c>
    </row>
    <row r="328" spans="1:16" x14ac:dyDescent="0.3">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6">
        <f>INDEX(products!$A$1:$G$49,MATCH(orders!$D328,products!$A$1:$A$49,0),MATCH(orders!K$1,products!$A$1:$G$1,0))</f>
        <v>1</v>
      </c>
      <c r="L328" s="5">
        <f>INDEX(products!$A$1:$G$49,MATCH(orders!$D328,products!$A$1:$A$49,0),MATCH(orders!L$1,products!$A$1:$G$1,0))</f>
        <v>8.9499999999999993</v>
      </c>
      <c r="M328" s="4">
        <f t="shared" si="15"/>
        <v>44.75</v>
      </c>
      <c r="N328" t="str">
        <f t="shared" si="16"/>
        <v>Robusta</v>
      </c>
      <c r="O328" t="str">
        <f t="shared" si="17"/>
        <v>Dark</v>
      </c>
      <c r="P328" t="str">
        <f>_xlfn.XLOOKUP(Table1[[#This Row],[Customer ID]],customers!$A$1:$A$1001,customers!$I$1:$I$1001,,0)</f>
        <v>No</v>
      </c>
    </row>
    <row r="329" spans="1:16" x14ac:dyDescent="0.3">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6">
        <f>INDEX(products!$A$1:$G$49,MATCH(orders!$D329,products!$A$1:$A$49,0),MATCH(orders!K$1,products!$A$1:$G$1,0))</f>
        <v>1</v>
      </c>
      <c r="L329" s="5">
        <f>INDEX(products!$A$1:$G$49,MATCH(orders!$D329,products!$A$1:$A$49,0),MATCH(orders!L$1,products!$A$1:$G$1,0))</f>
        <v>8.9499999999999993</v>
      </c>
      <c r="M329" s="4">
        <f t="shared" si="15"/>
        <v>44.75</v>
      </c>
      <c r="N329" t="str">
        <f t="shared" si="16"/>
        <v>Robusta</v>
      </c>
      <c r="O329" t="str">
        <f t="shared" si="17"/>
        <v>Dark</v>
      </c>
      <c r="P329" t="str">
        <f>_xlfn.XLOOKUP(Table1[[#This Row],[Customer ID]],customers!$A$1:$A$1001,customers!$I$1:$I$1001,,0)</f>
        <v>Yes</v>
      </c>
    </row>
    <row r="330" spans="1:16" x14ac:dyDescent="0.3">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6">
        <f>INDEX(products!$A$1:$G$49,MATCH(orders!$D330,products!$A$1:$A$49,0),MATCH(orders!K$1,products!$A$1:$G$1,0))</f>
        <v>0.5</v>
      </c>
      <c r="L330" s="5">
        <f>INDEX(products!$A$1:$G$49,MATCH(orders!$D330,products!$A$1:$A$49,0),MATCH(orders!L$1,products!$A$1:$G$1,0))</f>
        <v>9.51</v>
      </c>
      <c r="M330" s="4">
        <f t="shared" si="15"/>
        <v>38.04</v>
      </c>
      <c r="N330" t="str">
        <f t="shared" si="16"/>
        <v>Librica</v>
      </c>
      <c r="O330" t="str">
        <f t="shared" si="17"/>
        <v>Light</v>
      </c>
      <c r="P330" t="str">
        <f>_xlfn.XLOOKUP(Table1[[#This Row],[Customer ID]],customers!$A$1:$A$1001,customers!$I$1:$I$1001,,0)</f>
        <v>Yes</v>
      </c>
    </row>
    <row r="331" spans="1:16" x14ac:dyDescent="0.3">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6">
        <f>INDEX(products!$A$1:$G$49,MATCH(orders!$D331,products!$A$1:$A$49,0),MATCH(orders!K$1,products!$A$1:$G$1,0))</f>
        <v>0.5</v>
      </c>
      <c r="L331" s="5">
        <f>INDEX(products!$A$1:$G$49,MATCH(orders!$D331,products!$A$1:$A$49,0),MATCH(orders!L$1,products!$A$1:$G$1,0))</f>
        <v>5.3699999999999992</v>
      </c>
      <c r="M331" s="4">
        <f t="shared" si="15"/>
        <v>21.479999999999997</v>
      </c>
      <c r="N331" t="str">
        <f t="shared" si="16"/>
        <v>Robusta</v>
      </c>
      <c r="O331" t="str">
        <f t="shared" si="17"/>
        <v>Dark</v>
      </c>
      <c r="P331" t="str">
        <f>_xlfn.XLOOKUP(Table1[[#This Row],[Customer ID]],customers!$A$1:$A$1001,customers!$I$1:$I$1001,,0)</f>
        <v>Yes</v>
      </c>
    </row>
    <row r="332" spans="1:16" x14ac:dyDescent="0.3">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6">
        <f>INDEX(products!$A$1:$G$49,MATCH(orders!$D332,products!$A$1:$A$49,0),MATCH(orders!K$1,products!$A$1:$G$1,0))</f>
        <v>0.5</v>
      </c>
      <c r="L332" s="5">
        <f>INDEX(products!$A$1:$G$49,MATCH(orders!$D332,products!$A$1:$A$49,0),MATCH(orders!L$1,products!$A$1:$G$1,0))</f>
        <v>5.3699999999999992</v>
      </c>
      <c r="M332" s="4">
        <f t="shared" si="15"/>
        <v>16.11</v>
      </c>
      <c r="N332" t="str">
        <f t="shared" si="16"/>
        <v>Robusta</v>
      </c>
      <c r="O332" t="str">
        <f t="shared" si="17"/>
        <v>Dark</v>
      </c>
      <c r="P332" t="str">
        <f>_xlfn.XLOOKUP(Table1[[#This Row],[Customer ID]],customers!$A$1:$A$1001,customers!$I$1:$I$1001,,0)</f>
        <v>No</v>
      </c>
    </row>
    <row r="333" spans="1:16" x14ac:dyDescent="0.3">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6">
        <f>INDEX(products!$A$1:$G$49,MATCH(orders!$D333,products!$A$1:$A$49,0),MATCH(orders!K$1,products!$A$1:$G$1,0))</f>
        <v>2.5</v>
      </c>
      <c r="L333" s="5">
        <f>INDEX(products!$A$1:$G$49,MATCH(orders!$D333,products!$A$1:$A$49,0),MATCH(orders!L$1,products!$A$1:$G$1,0))</f>
        <v>22.884999999999998</v>
      </c>
      <c r="M333" s="4">
        <f t="shared" si="15"/>
        <v>22.884999999999998</v>
      </c>
      <c r="N333" t="str">
        <f t="shared" si="16"/>
        <v>Robusta</v>
      </c>
      <c r="O333" t="str">
        <f t="shared" si="17"/>
        <v>Medium</v>
      </c>
      <c r="P333" t="str">
        <f>_xlfn.XLOOKUP(Table1[[#This Row],[Customer ID]],customers!$A$1:$A$1001,customers!$I$1:$I$1001,,0)</f>
        <v>Yes</v>
      </c>
    </row>
    <row r="334" spans="1:16" x14ac:dyDescent="0.3">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6">
        <f>INDEX(products!$A$1:$G$49,MATCH(orders!$D334,products!$A$1:$A$49,0),MATCH(orders!K$1,products!$A$1:$G$1,0))</f>
        <v>0.5</v>
      </c>
      <c r="L334" s="5">
        <f>INDEX(products!$A$1:$G$49,MATCH(orders!$D334,products!$A$1:$A$49,0),MATCH(orders!L$1,products!$A$1:$G$1,0))</f>
        <v>5.97</v>
      </c>
      <c r="M334" s="4">
        <f t="shared" si="15"/>
        <v>17.91</v>
      </c>
      <c r="N334" t="str">
        <f t="shared" si="16"/>
        <v>Arabica</v>
      </c>
      <c r="O334" t="str">
        <f t="shared" si="17"/>
        <v>Dark</v>
      </c>
      <c r="P334" t="str">
        <f>_xlfn.XLOOKUP(Table1[[#This Row],[Customer ID]],customers!$A$1:$A$1001,customers!$I$1:$I$1001,,0)</f>
        <v>Yes</v>
      </c>
    </row>
    <row r="335" spans="1:16" x14ac:dyDescent="0.3">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6">
        <f>INDEX(products!$A$1:$G$49,MATCH(orders!$D335,products!$A$1:$A$49,0),MATCH(orders!K$1,products!$A$1:$G$1,0))</f>
        <v>0.5</v>
      </c>
      <c r="L335" s="5">
        <f>INDEX(products!$A$1:$G$49,MATCH(orders!$D335,products!$A$1:$A$49,0),MATCH(orders!L$1,products!$A$1:$G$1,0))</f>
        <v>5.97</v>
      </c>
      <c r="M335" s="4">
        <f t="shared" si="15"/>
        <v>23.88</v>
      </c>
      <c r="N335" t="str">
        <f t="shared" si="16"/>
        <v>Robusta</v>
      </c>
      <c r="O335" t="str">
        <f t="shared" si="17"/>
        <v>Medium</v>
      </c>
      <c r="P335" t="str">
        <f>_xlfn.XLOOKUP(Table1[[#This Row],[Customer ID]],customers!$A$1:$A$1001,customers!$I$1:$I$1001,,0)</f>
        <v>Yes</v>
      </c>
    </row>
    <row r="336" spans="1:16" x14ac:dyDescent="0.3">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6">
        <f>INDEX(products!$A$1:$G$49,MATCH(orders!$D336,products!$A$1:$A$49,0),MATCH(orders!K$1,products!$A$1:$G$1,0))</f>
        <v>1</v>
      </c>
      <c r="L336" s="5">
        <f>INDEX(products!$A$1:$G$49,MATCH(orders!$D336,products!$A$1:$A$49,0),MATCH(orders!L$1,products!$A$1:$G$1,0))</f>
        <v>11.95</v>
      </c>
      <c r="M336" s="4">
        <f t="shared" si="15"/>
        <v>59.75</v>
      </c>
      <c r="N336" t="str">
        <f t="shared" si="16"/>
        <v>Robusta</v>
      </c>
      <c r="O336" t="str">
        <f t="shared" si="17"/>
        <v>Light</v>
      </c>
      <c r="P336" t="str">
        <f>_xlfn.XLOOKUP(Table1[[#This Row],[Customer ID]],customers!$A$1:$A$1001,customers!$I$1:$I$1001,,0)</f>
        <v>No</v>
      </c>
    </row>
    <row r="337" spans="1:16" x14ac:dyDescent="0.3">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6">
        <f>INDEX(products!$A$1:$G$49,MATCH(orders!$D337,products!$A$1:$A$49,0),MATCH(orders!K$1,products!$A$1:$G$1,0))</f>
        <v>0.2</v>
      </c>
      <c r="L337" s="5">
        <f>INDEX(products!$A$1:$G$49,MATCH(orders!$D337,products!$A$1:$A$49,0),MATCH(orders!L$1,products!$A$1:$G$1,0))</f>
        <v>4.7549999999999999</v>
      </c>
      <c r="M337" s="4">
        <f t="shared" si="15"/>
        <v>28.53</v>
      </c>
      <c r="N337" t="str">
        <f t="shared" si="16"/>
        <v>Librica</v>
      </c>
      <c r="O337" t="str">
        <f t="shared" si="17"/>
        <v>Light</v>
      </c>
      <c r="P337" t="str">
        <f>_xlfn.XLOOKUP(Table1[[#This Row],[Customer ID]],customers!$A$1:$A$1001,customers!$I$1:$I$1001,,0)</f>
        <v>Yes</v>
      </c>
    </row>
    <row r="338" spans="1:16" x14ac:dyDescent="0.3">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6">
        <f>INDEX(products!$A$1:$G$49,MATCH(orders!$D338,products!$A$1:$A$49,0),MATCH(orders!K$1,products!$A$1:$G$1,0))</f>
        <v>1</v>
      </c>
      <c r="L338" s="5">
        <f>INDEX(products!$A$1:$G$49,MATCH(orders!$D338,products!$A$1:$A$49,0),MATCH(orders!L$1,products!$A$1:$G$1,0))</f>
        <v>11.25</v>
      </c>
      <c r="M338" s="4">
        <f t="shared" si="15"/>
        <v>45</v>
      </c>
      <c r="N338" t="str">
        <f t="shared" si="16"/>
        <v>Arabica</v>
      </c>
      <c r="O338" t="str">
        <f t="shared" si="17"/>
        <v>Medium</v>
      </c>
      <c r="P338" t="str">
        <f>_xlfn.XLOOKUP(Table1[[#This Row],[Customer ID]],customers!$A$1:$A$1001,customers!$I$1:$I$1001,,0)</f>
        <v>No</v>
      </c>
    </row>
    <row r="339" spans="1:16" x14ac:dyDescent="0.3">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6">
        <f>INDEX(products!$A$1:$G$49,MATCH(orders!$D339,products!$A$1:$A$49,0),MATCH(orders!K$1,products!$A$1:$G$1,0))</f>
        <v>2.5</v>
      </c>
      <c r="L339" s="5">
        <f>INDEX(products!$A$1:$G$49,MATCH(orders!$D339,products!$A$1:$A$49,0),MATCH(orders!L$1,products!$A$1:$G$1,0))</f>
        <v>27.945</v>
      </c>
      <c r="M339" s="4">
        <f t="shared" si="15"/>
        <v>55.89</v>
      </c>
      <c r="N339" t="str">
        <f t="shared" si="16"/>
        <v>Excelsa</v>
      </c>
      <c r="O339" t="str">
        <f t="shared" si="17"/>
        <v>Dark</v>
      </c>
      <c r="P339" t="str">
        <f>_xlfn.XLOOKUP(Table1[[#This Row],[Customer ID]],customers!$A$1:$A$1001,customers!$I$1:$I$1001,,0)</f>
        <v>No</v>
      </c>
    </row>
    <row r="340" spans="1:16" x14ac:dyDescent="0.3">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6">
        <f>INDEX(products!$A$1:$G$49,MATCH(orders!$D340,products!$A$1:$A$49,0),MATCH(orders!K$1,products!$A$1:$G$1,0))</f>
        <v>1</v>
      </c>
      <c r="L340" s="5">
        <f>INDEX(products!$A$1:$G$49,MATCH(orders!$D340,products!$A$1:$A$49,0),MATCH(orders!L$1,products!$A$1:$G$1,0))</f>
        <v>14.85</v>
      </c>
      <c r="M340" s="4">
        <f t="shared" si="15"/>
        <v>59.4</v>
      </c>
      <c r="N340" t="str">
        <f t="shared" si="16"/>
        <v>Excelsa</v>
      </c>
      <c r="O340" t="str">
        <f t="shared" si="17"/>
        <v>Light</v>
      </c>
      <c r="P340" t="str">
        <f>_xlfn.XLOOKUP(Table1[[#This Row],[Customer ID]],customers!$A$1:$A$1001,customers!$I$1:$I$1001,,0)</f>
        <v>No</v>
      </c>
    </row>
    <row r="341" spans="1:16" x14ac:dyDescent="0.3">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6">
        <f>INDEX(products!$A$1:$G$49,MATCH(orders!$D341,products!$A$1:$A$49,0),MATCH(orders!K$1,products!$A$1:$G$1,0))</f>
        <v>0.2</v>
      </c>
      <c r="L341" s="5">
        <f>INDEX(products!$A$1:$G$49,MATCH(orders!$D341,products!$A$1:$A$49,0),MATCH(orders!L$1,products!$A$1:$G$1,0))</f>
        <v>3.645</v>
      </c>
      <c r="M341" s="4">
        <f t="shared" si="15"/>
        <v>7.29</v>
      </c>
      <c r="N341" t="str">
        <f t="shared" si="16"/>
        <v>Excelsa</v>
      </c>
      <c r="O341" t="str">
        <f t="shared" si="17"/>
        <v>Dark</v>
      </c>
      <c r="P341" t="str">
        <f>_xlfn.XLOOKUP(Table1[[#This Row],[Customer ID]],customers!$A$1:$A$1001,customers!$I$1:$I$1001,,0)</f>
        <v>Yes</v>
      </c>
    </row>
    <row r="342" spans="1:16" x14ac:dyDescent="0.3">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6">
        <f>INDEX(products!$A$1:$G$49,MATCH(orders!$D342,products!$A$1:$A$49,0),MATCH(orders!K$1,products!$A$1:$G$1,0))</f>
        <v>0.5</v>
      </c>
      <c r="L342" s="5">
        <f>INDEX(products!$A$1:$G$49,MATCH(orders!$D342,products!$A$1:$A$49,0),MATCH(orders!L$1,products!$A$1:$G$1,0))</f>
        <v>7.29</v>
      </c>
      <c r="M342" s="4">
        <f t="shared" si="15"/>
        <v>7.29</v>
      </c>
      <c r="N342" t="str">
        <f t="shared" si="16"/>
        <v>Excelsa</v>
      </c>
      <c r="O342" t="str">
        <f t="shared" si="17"/>
        <v>Dark</v>
      </c>
      <c r="P342" t="str">
        <f>_xlfn.XLOOKUP(Table1[[#This Row],[Customer ID]],customers!$A$1:$A$1001,customers!$I$1:$I$1001,,0)</f>
        <v>Yes</v>
      </c>
    </row>
    <row r="343" spans="1:16" x14ac:dyDescent="0.3">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6">
        <f>INDEX(products!$A$1:$G$49,MATCH(orders!$D343,products!$A$1:$A$49,0),MATCH(orders!K$1,products!$A$1:$G$1,0))</f>
        <v>0.5</v>
      </c>
      <c r="L343" s="5">
        <f>INDEX(products!$A$1:$G$49,MATCH(orders!$D343,products!$A$1:$A$49,0),MATCH(orders!L$1,products!$A$1:$G$1,0))</f>
        <v>8.91</v>
      </c>
      <c r="M343" s="4">
        <f t="shared" si="15"/>
        <v>17.82</v>
      </c>
      <c r="N343" t="str">
        <f t="shared" si="16"/>
        <v>Excelsa</v>
      </c>
      <c r="O343" t="str">
        <f t="shared" si="17"/>
        <v>Light</v>
      </c>
      <c r="P343" t="str">
        <f>_xlfn.XLOOKUP(Table1[[#This Row],[Customer ID]],customers!$A$1:$A$1001,customers!$I$1:$I$1001,,0)</f>
        <v>No</v>
      </c>
    </row>
    <row r="344" spans="1:16" x14ac:dyDescent="0.3">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6">
        <f>INDEX(products!$A$1:$G$49,MATCH(orders!$D344,products!$A$1:$A$49,0),MATCH(orders!K$1,products!$A$1:$G$1,0))</f>
        <v>0.5</v>
      </c>
      <c r="L344" s="5">
        <f>INDEX(products!$A$1:$G$49,MATCH(orders!$D344,products!$A$1:$A$49,0),MATCH(orders!L$1,products!$A$1:$G$1,0))</f>
        <v>7.77</v>
      </c>
      <c r="M344" s="4">
        <f t="shared" si="15"/>
        <v>38.849999999999994</v>
      </c>
      <c r="N344" t="str">
        <f t="shared" si="16"/>
        <v>Librica</v>
      </c>
      <c r="O344" t="str">
        <f t="shared" si="17"/>
        <v>Dark</v>
      </c>
      <c r="P344" t="str">
        <f>_xlfn.XLOOKUP(Table1[[#This Row],[Customer ID]],customers!$A$1:$A$1001,customers!$I$1:$I$1001,,0)</f>
        <v>No</v>
      </c>
    </row>
    <row r="345" spans="1:16" x14ac:dyDescent="0.3">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6">
        <f>INDEX(products!$A$1:$G$49,MATCH(orders!$D345,products!$A$1:$A$49,0),MATCH(orders!K$1,products!$A$1:$G$1,0))</f>
        <v>0.5</v>
      </c>
      <c r="L345" s="5">
        <f>INDEX(products!$A$1:$G$49,MATCH(orders!$D345,products!$A$1:$A$49,0),MATCH(orders!L$1,products!$A$1:$G$1,0))</f>
        <v>5.3699999999999992</v>
      </c>
      <c r="M345" s="4">
        <f t="shared" si="15"/>
        <v>32.22</v>
      </c>
      <c r="N345" t="str">
        <f t="shared" si="16"/>
        <v>Robusta</v>
      </c>
      <c r="O345" t="str">
        <f t="shared" si="17"/>
        <v>Dark</v>
      </c>
      <c r="P345" t="str">
        <f>_xlfn.XLOOKUP(Table1[[#This Row],[Customer ID]],customers!$A$1:$A$1001,customers!$I$1:$I$1001,,0)</f>
        <v>No</v>
      </c>
    </row>
    <row r="346" spans="1:16" x14ac:dyDescent="0.3">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6">
        <f>INDEX(products!$A$1:$G$49,MATCH(orders!$D346,products!$A$1:$A$49,0),MATCH(orders!K$1,products!$A$1:$G$1,0))</f>
        <v>1</v>
      </c>
      <c r="L346" s="5">
        <f>INDEX(products!$A$1:$G$49,MATCH(orders!$D346,products!$A$1:$A$49,0),MATCH(orders!L$1,products!$A$1:$G$1,0))</f>
        <v>9.9499999999999993</v>
      </c>
      <c r="M346" s="4">
        <f t="shared" si="15"/>
        <v>19.899999999999999</v>
      </c>
      <c r="N346" t="str">
        <f t="shared" si="16"/>
        <v>Robusta</v>
      </c>
      <c r="O346" t="str">
        <f t="shared" si="17"/>
        <v>Medium</v>
      </c>
      <c r="P346" t="str">
        <f>_xlfn.XLOOKUP(Table1[[#This Row],[Customer ID]],customers!$A$1:$A$1001,customers!$I$1:$I$1001,,0)</f>
        <v>Yes</v>
      </c>
    </row>
    <row r="347" spans="1:16" x14ac:dyDescent="0.3">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6">
        <f>INDEX(products!$A$1:$G$49,MATCH(orders!$D347,products!$A$1:$A$49,0),MATCH(orders!K$1,products!$A$1:$G$1,0))</f>
        <v>1</v>
      </c>
      <c r="L347" s="5">
        <f>INDEX(products!$A$1:$G$49,MATCH(orders!$D347,products!$A$1:$A$49,0),MATCH(orders!L$1,products!$A$1:$G$1,0))</f>
        <v>11.95</v>
      </c>
      <c r="M347" s="4">
        <f t="shared" si="15"/>
        <v>59.75</v>
      </c>
      <c r="N347" t="str">
        <f t="shared" si="16"/>
        <v>Robusta</v>
      </c>
      <c r="O347" t="str">
        <f t="shared" si="17"/>
        <v>Light</v>
      </c>
      <c r="P347" t="str">
        <f>_xlfn.XLOOKUP(Table1[[#This Row],[Customer ID]],customers!$A$1:$A$1001,customers!$I$1:$I$1001,,0)</f>
        <v>No</v>
      </c>
    </row>
    <row r="348" spans="1:16" x14ac:dyDescent="0.3">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6">
        <f>INDEX(products!$A$1:$G$49,MATCH(orders!$D348,products!$A$1:$A$49,0),MATCH(orders!K$1,products!$A$1:$G$1,0))</f>
        <v>0.5</v>
      </c>
      <c r="L348" s="5">
        <f>INDEX(products!$A$1:$G$49,MATCH(orders!$D348,products!$A$1:$A$49,0),MATCH(orders!L$1,products!$A$1:$G$1,0))</f>
        <v>7.77</v>
      </c>
      <c r="M348" s="4">
        <f t="shared" si="15"/>
        <v>23.31</v>
      </c>
      <c r="N348" t="str">
        <f t="shared" si="16"/>
        <v>Arabica</v>
      </c>
      <c r="O348" t="str">
        <f t="shared" si="17"/>
        <v>Light</v>
      </c>
      <c r="P348" t="str">
        <f>_xlfn.XLOOKUP(Table1[[#This Row],[Customer ID]],customers!$A$1:$A$1001,customers!$I$1:$I$1001,,0)</f>
        <v>Yes</v>
      </c>
    </row>
    <row r="349" spans="1:16" x14ac:dyDescent="0.3">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6">
        <f>INDEX(products!$A$1:$G$49,MATCH(orders!$D349,products!$A$1:$A$49,0),MATCH(orders!K$1,products!$A$1:$G$1,0))</f>
        <v>1</v>
      </c>
      <c r="L349" s="5">
        <f>INDEX(products!$A$1:$G$49,MATCH(orders!$D349,products!$A$1:$A$49,0),MATCH(orders!L$1,products!$A$1:$G$1,0))</f>
        <v>14.55</v>
      </c>
      <c r="M349" s="4">
        <f t="shared" si="15"/>
        <v>43.650000000000006</v>
      </c>
      <c r="N349" t="str">
        <f t="shared" si="16"/>
        <v>Librica</v>
      </c>
      <c r="O349" t="str">
        <f t="shared" si="17"/>
        <v>Medium</v>
      </c>
      <c r="P349" t="str">
        <f>_xlfn.XLOOKUP(Table1[[#This Row],[Customer ID]],customers!$A$1:$A$1001,customers!$I$1:$I$1001,,0)</f>
        <v>No</v>
      </c>
    </row>
    <row r="350" spans="1:16" x14ac:dyDescent="0.3">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6">
        <f>INDEX(products!$A$1:$G$49,MATCH(orders!$D350,products!$A$1:$A$49,0),MATCH(orders!K$1,products!$A$1:$G$1,0))</f>
        <v>2.5</v>
      </c>
      <c r="L350" s="5">
        <f>INDEX(products!$A$1:$G$49,MATCH(orders!$D350,products!$A$1:$A$49,0),MATCH(orders!L$1,products!$A$1:$G$1,0))</f>
        <v>34.154999999999994</v>
      </c>
      <c r="M350" s="4">
        <f t="shared" si="15"/>
        <v>204.92999999999995</v>
      </c>
      <c r="N350" t="str">
        <f t="shared" si="16"/>
        <v>Excelsa</v>
      </c>
      <c r="O350" t="str">
        <f t="shared" si="17"/>
        <v>Light</v>
      </c>
      <c r="P350" t="str">
        <f>_xlfn.XLOOKUP(Table1[[#This Row],[Customer ID]],customers!$A$1:$A$1001,customers!$I$1:$I$1001,,0)</f>
        <v>No</v>
      </c>
    </row>
    <row r="351" spans="1:16" x14ac:dyDescent="0.3">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6">
        <f>INDEX(products!$A$1:$G$49,MATCH(orders!$D351,products!$A$1:$A$49,0),MATCH(orders!K$1,products!$A$1:$G$1,0))</f>
        <v>0.2</v>
      </c>
      <c r="L351" s="5">
        <f>INDEX(products!$A$1:$G$49,MATCH(orders!$D351,products!$A$1:$A$49,0),MATCH(orders!L$1,products!$A$1:$G$1,0))</f>
        <v>3.5849999999999995</v>
      </c>
      <c r="M351" s="4">
        <f t="shared" si="15"/>
        <v>14.339999999999998</v>
      </c>
      <c r="N351" t="str">
        <f t="shared" si="16"/>
        <v>Robusta</v>
      </c>
      <c r="O351" t="str">
        <f t="shared" si="17"/>
        <v>Light</v>
      </c>
      <c r="P351" t="str">
        <f>_xlfn.XLOOKUP(Table1[[#This Row],[Customer ID]],customers!$A$1:$A$1001,customers!$I$1:$I$1001,,0)</f>
        <v>No</v>
      </c>
    </row>
    <row r="352" spans="1:16" x14ac:dyDescent="0.3">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6">
        <f>INDEX(products!$A$1:$G$49,MATCH(orders!$D352,products!$A$1:$A$49,0),MATCH(orders!K$1,products!$A$1:$G$1,0))</f>
        <v>0.5</v>
      </c>
      <c r="L352" s="5">
        <f>INDEX(products!$A$1:$G$49,MATCH(orders!$D352,products!$A$1:$A$49,0),MATCH(orders!L$1,products!$A$1:$G$1,0))</f>
        <v>5.97</v>
      </c>
      <c r="M352" s="4">
        <f t="shared" si="15"/>
        <v>23.88</v>
      </c>
      <c r="N352" t="str">
        <f t="shared" si="16"/>
        <v>Arabica</v>
      </c>
      <c r="O352" t="str">
        <f t="shared" si="17"/>
        <v>Dark</v>
      </c>
      <c r="P352" t="str">
        <f>_xlfn.XLOOKUP(Table1[[#This Row],[Customer ID]],customers!$A$1:$A$1001,customers!$I$1:$I$1001,,0)</f>
        <v>No</v>
      </c>
    </row>
    <row r="353" spans="1:16" x14ac:dyDescent="0.3">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6">
        <f>INDEX(products!$A$1:$G$49,MATCH(orders!$D353,products!$A$1:$A$49,0),MATCH(orders!K$1,products!$A$1:$G$1,0))</f>
        <v>1</v>
      </c>
      <c r="L353" s="5">
        <f>INDEX(products!$A$1:$G$49,MATCH(orders!$D353,products!$A$1:$A$49,0),MATCH(orders!L$1,products!$A$1:$G$1,0))</f>
        <v>11.25</v>
      </c>
      <c r="M353" s="4">
        <f t="shared" si="15"/>
        <v>22.5</v>
      </c>
      <c r="N353" t="str">
        <f t="shared" si="16"/>
        <v>Arabica</v>
      </c>
      <c r="O353" t="str">
        <f t="shared" si="17"/>
        <v>Medium</v>
      </c>
      <c r="P353" t="str">
        <f>_xlfn.XLOOKUP(Table1[[#This Row],[Customer ID]],customers!$A$1:$A$1001,customers!$I$1:$I$1001,,0)</f>
        <v>No</v>
      </c>
    </row>
    <row r="354" spans="1:16" x14ac:dyDescent="0.3">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6">
        <f>INDEX(products!$A$1:$G$49,MATCH(orders!$D354,products!$A$1:$A$49,0),MATCH(orders!K$1,products!$A$1:$G$1,0))</f>
        <v>0.5</v>
      </c>
      <c r="L354" s="5">
        <f>INDEX(products!$A$1:$G$49,MATCH(orders!$D354,products!$A$1:$A$49,0),MATCH(orders!L$1,products!$A$1:$G$1,0))</f>
        <v>7.29</v>
      </c>
      <c r="M354" s="4">
        <f t="shared" si="15"/>
        <v>36.450000000000003</v>
      </c>
      <c r="N354" t="str">
        <f t="shared" si="16"/>
        <v>Excelsa</v>
      </c>
      <c r="O354" t="str">
        <f t="shared" si="17"/>
        <v>Dark</v>
      </c>
      <c r="P354" t="str">
        <f>_xlfn.XLOOKUP(Table1[[#This Row],[Customer ID]],customers!$A$1:$A$1001,customers!$I$1:$I$1001,,0)</f>
        <v>No</v>
      </c>
    </row>
    <row r="355" spans="1:16" x14ac:dyDescent="0.3">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6">
        <f>INDEX(products!$A$1:$G$49,MATCH(orders!$D355,products!$A$1:$A$49,0),MATCH(orders!K$1,products!$A$1:$G$1,0))</f>
        <v>0.5</v>
      </c>
      <c r="L355" s="5">
        <f>INDEX(products!$A$1:$G$49,MATCH(orders!$D355,products!$A$1:$A$49,0),MATCH(orders!L$1,products!$A$1:$G$1,0))</f>
        <v>6.75</v>
      </c>
      <c r="M355" s="4">
        <f t="shared" si="15"/>
        <v>27</v>
      </c>
      <c r="N355" t="str">
        <f t="shared" si="16"/>
        <v>Arabica</v>
      </c>
      <c r="O355" t="str">
        <f t="shared" si="17"/>
        <v>Medium</v>
      </c>
      <c r="P355" t="str">
        <f>_xlfn.XLOOKUP(Table1[[#This Row],[Customer ID]],customers!$A$1:$A$1001,customers!$I$1:$I$1001,,0)</f>
        <v>Yes</v>
      </c>
    </row>
    <row r="356" spans="1:16" x14ac:dyDescent="0.3">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6">
        <f>INDEX(products!$A$1:$G$49,MATCH(orders!$D356,products!$A$1:$A$49,0),MATCH(orders!K$1,products!$A$1:$G$1,0))</f>
        <v>2.5</v>
      </c>
      <c r="L356" s="5">
        <f>INDEX(products!$A$1:$G$49,MATCH(orders!$D356,products!$A$1:$A$49,0),MATCH(orders!L$1,products!$A$1:$G$1,0))</f>
        <v>25.874999999999996</v>
      </c>
      <c r="M356" s="4">
        <f t="shared" si="15"/>
        <v>155.24999999999997</v>
      </c>
      <c r="N356" t="str">
        <f t="shared" si="16"/>
        <v>Arabica</v>
      </c>
      <c r="O356" t="str">
        <f t="shared" si="17"/>
        <v>Medium</v>
      </c>
      <c r="P356" t="str">
        <f>_xlfn.XLOOKUP(Table1[[#This Row],[Customer ID]],customers!$A$1:$A$1001,customers!$I$1:$I$1001,,0)</f>
        <v>No</v>
      </c>
    </row>
    <row r="357" spans="1:16" x14ac:dyDescent="0.3">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6">
        <f>INDEX(products!$A$1:$G$49,MATCH(orders!$D357,products!$A$1:$A$49,0),MATCH(orders!K$1,products!$A$1:$G$1,0))</f>
        <v>2.5</v>
      </c>
      <c r="L357" s="5">
        <f>INDEX(products!$A$1:$G$49,MATCH(orders!$D357,products!$A$1:$A$49,0),MATCH(orders!L$1,products!$A$1:$G$1,0))</f>
        <v>22.884999999999998</v>
      </c>
      <c r="M357" s="4">
        <f t="shared" si="15"/>
        <v>114.42499999999998</v>
      </c>
      <c r="N357" t="str">
        <f t="shared" si="16"/>
        <v>Arabica</v>
      </c>
      <c r="O357" t="str">
        <f t="shared" si="17"/>
        <v>Dark</v>
      </c>
      <c r="P357" t="str">
        <f>_xlfn.XLOOKUP(Table1[[#This Row],[Customer ID]],customers!$A$1:$A$1001,customers!$I$1:$I$1001,,0)</f>
        <v>Yes</v>
      </c>
    </row>
    <row r="358" spans="1:16" x14ac:dyDescent="0.3">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6">
        <f>INDEX(products!$A$1:$G$49,MATCH(orders!$D358,products!$A$1:$A$49,0),MATCH(orders!K$1,products!$A$1:$G$1,0))</f>
        <v>1</v>
      </c>
      <c r="L358" s="5">
        <f>INDEX(products!$A$1:$G$49,MATCH(orders!$D358,products!$A$1:$A$49,0),MATCH(orders!L$1,products!$A$1:$G$1,0))</f>
        <v>12.95</v>
      </c>
      <c r="M358" s="4">
        <f t="shared" si="15"/>
        <v>51.8</v>
      </c>
      <c r="N358" t="str">
        <f t="shared" si="16"/>
        <v>Librica</v>
      </c>
      <c r="O358" t="str">
        <f t="shared" si="17"/>
        <v>Dark</v>
      </c>
      <c r="P358" t="str">
        <f>_xlfn.XLOOKUP(Table1[[#This Row],[Customer ID]],customers!$A$1:$A$1001,customers!$I$1:$I$1001,,0)</f>
        <v>Yes</v>
      </c>
    </row>
    <row r="359" spans="1:16" x14ac:dyDescent="0.3">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6">
        <f>INDEX(products!$A$1:$G$49,MATCH(orders!$D359,products!$A$1:$A$49,0),MATCH(orders!K$1,products!$A$1:$G$1,0))</f>
        <v>2.5</v>
      </c>
      <c r="L359" s="5">
        <f>INDEX(products!$A$1:$G$49,MATCH(orders!$D359,products!$A$1:$A$49,0),MATCH(orders!L$1,products!$A$1:$G$1,0))</f>
        <v>25.874999999999996</v>
      </c>
      <c r="M359" s="4">
        <f t="shared" si="15"/>
        <v>155.24999999999997</v>
      </c>
      <c r="N359" t="str">
        <f t="shared" si="16"/>
        <v>Arabica</v>
      </c>
      <c r="O359" t="str">
        <f t="shared" si="17"/>
        <v>Medium</v>
      </c>
      <c r="P359" t="str">
        <f>_xlfn.XLOOKUP(Table1[[#This Row],[Customer ID]],customers!$A$1:$A$1001,customers!$I$1:$I$1001,,0)</f>
        <v>No</v>
      </c>
    </row>
    <row r="360" spans="1:16" x14ac:dyDescent="0.3">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6">
        <f>INDEX(products!$A$1:$G$49,MATCH(orders!$D360,products!$A$1:$A$49,0),MATCH(orders!K$1,products!$A$1:$G$1,0))</f>
        <v>2.5</v>
      </c>
      <c r="L360" s="5">
        <f>INDEX(products!$A$1:$G$49,MATCH(orders!$D360,products!$A$1:$A$49,0),MATCH(orders!L$1,products!$A$1:$G$1,0))</f>
        <v>29.784999999999997</v>
      </c>
      <c r="M360" s="4">
        <f t="shared" si="15"/>
        <v>29.784999999999997</v>
      </c>
      <c r="N360" t="str">
        <f t="shared" si="16"/>
        <v>Arabica</v>
      </c>
      <c r="O360" t="str">
        <f t="shared" si="17"/>
        <v>Light</v>
      </c>
      <c r="P360" t="str">
        <f>_xlfn.XLOOKUP(Table1[[#This Row],[Customer ID]],customers!$A$1:$A$1001,customers!$I$1:$I$1001,,0)</f>
        <v>No</v>
      </c>
    </row>
    <row r="361" spans="1:16" x14ac:dyDescent="0.3">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6">
        <f>INDEX(products!$A$1:$G$49,MATCH(orders!$D361,products!$A$1:$A$49,0),MATCH(orders!K$1,products!$A$1:$G$1,0))</f>
        <v>0.2</v>
      </c>
      <c r="L361" s="5">
        <f>INDEX(products!$A$1:$G$49,MATCH(orders!$D361,products!$A$1:$A$49,0),MATCH(orders!L$1,products!$A$1:$G$1,0))</f>
        <v>3.5849999999999995</v>
      </c>
      <c r="M361" s="4">
        <f t="shared" si="15"/>
        <v>21.509999999999998</v>
      </c>
      <c r="N361" t="str">
        <f t="shared" si="16"/>
        <v>Robusta</v>
      </c>
      <c r="O361" t="str">
        <f t="shared" si="17"/>
        <v>Light</v>
      </c>
      <c r="P361" t="str">
        <f>_xlfn.XLOOKUP(Table1[[#This Row],[Customer ID]],customers!$A$1:$A$1001,customers!$I$1:$I$1001,,0)</f>
        <v>No</v>
      </c>
    </row>
    <row r="362" spans="1:16" x14ac:dyDescent="0.3">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6">
        <f>INDEX(products!$A$1:$G$49,MATCH(orders!$D362,products!$A$1:$A$49,0),MATCH(orders!K$1,products!$A$1:$G$1,0))</f>
        <v>2.5</v>
      </c>
      <c r="L362" s="5">
        <f>INDEX(products!$A$1:$G$49,MATCH(orders!$D362,products!$A$1:$A$49,0),MATCH(orders!L$1,products!$A$1:$G$1,0))</f>
        <v>20.584999999999997</v>
      </c>
      <c r="M362" s="4">
        <f t="shared" si="15"/>
        <v>41.169999999999995</v>
      </c>
      <c r="N362" t="str">
        <f t="shared" si="16"/>
        <v>Robusta</v>
      </c>
      <c r="O362" t="str">
        <f t="shared" si="17"/>
        <v>Dark</v>
      </c>
      <c r="P362" t="str">
        <f>_xlfn.XLOOKUP(Table1[[#This Row],[Customer ID]],customers!$A$1:$A$1001,customers!$I$1:$I$1001,,0)</f>
        <v>No</v>
      </c>
    </row>
    <row r="363" spans="1:16" x14ac:dyDescent="0.3">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6">
        <f>INDEX(products!$A$1:$G$49,MATCH(orders!$D363,products!$A$1:$A$49,0),MATCH(orders!K$1,products!$A$1:$G$1,0))</f>
        <v>0.5</v>
      </c>
      <c r="L363" s="5">
        <f>INDEX(products!$A$1:$G$49,MATCH(orders!$D363,products!$A$1:$A$49,0),MATCH(orders!L$1,products!$A$1:$G$1,0))</f>
        <v>5.97</v>
      </c>
      <c r="M363" s="4">
        <f t="shared" si="15"/>
        <v>5.97</v>
      </c>
      <c r="N363" t="str">
        <f t="shared" si="16"/>
        <v>Robusta</v>
      </c>
      <c r="O363" t="str">
        <f t="shared" si="17"/>
        <v>Medium</v>
      </c>
      <c r="P363" t="str">
        <f>_xlfn.XLOOKUP(Table1[[#This Row],[Customer ID]],customers!$A$1:$A$1001,customers!$I$1:$I$1001,,0)</f>
        <v>No</v>
      </c>
    </row>
    <row r="364" spans="1:16" x14ac:dyDescent="0.3">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6">
        <f>INDEX(products!$A$1:$G$49,MATCH(orders!$D364,products!$A$1:$A$49,0),MATCH(orders!K$1,products!$A$1:$G$1,0))</f>
        <v>1</v>
      </c>
      <c r="L364" s="5">
        <f>INDEX(products!$A$1:$G$49,MATCH(orders!$D364,products!$A$1:$A$49,0),MATCH(orders!L$1,products!$A$1:$G$1,0))</f>
        <v>14.85</v>
      </c>
      <c r="M364" s="4">
        <f t="shared" si="15"/>
        <v>74.25</v>
      </c>
      <c r="N364" t="str">
        <f t="shared" si="16"/>
        <v>Excelsa</v>
      </c>
      <c r="O364" t="str">
        <f t="shared" si="17"/>
        <v>Light</v>
      </c>
      <c r="P364" t="str">
        <f>_xlfn.XLOOKUP(Table1[[#This Row],[Customer ID]],customers!$A$1:$A$1001,customers!$I$1:$I$1001,,0)</f>
        <v>Yes</v>
      </c>
    </row>
    <row r="365" spans="1:16" x14ac:dyDescent="0.3">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6">
        <f>INDEX(products!$A$1:$G$49,MATCH(orders!$D365,products!$A$1:$A$49,0),MATCH(orders!K$1,products!$A$1:$G$1,0))</f>
        <v>1</v>
      </c>
      <c r="L365" s="5">
        <f>INDEX(products!$A$1:$G$49,MATCH(orders!$D365,products!$A$1:$A$49,0),MATCH(orders!L$1,products!$A$1:$G$1,0))</f>
        <v>14.55</v>
      </c>
      <c r="M365" s="4">
        <f t="shared" si="15"/>
        <v>87.300000000000011</v>
      </c>
      <c r="N365" t="str">
        <f t="shared" si="16"/>
        <v>Librica</v>
      </c>
      <c r="O365" t="str">
        <f t="shared" si="17"/>
        <v>Medium</v>
      </c>
      <c r="P365" t="str">
        <f>_xlfn.XLOOKUP(Table1[[#This Row],[Customer ID]],customers!$A$1:$A$1001,customers!$I$1:$I$1001,,0)</f>
        <v>No</v>
      </c>
    </row>
    <row r="366" spans="1:16" x14ac:dyDescent="0.3">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6">
        <f>INDEX(products!$A$1:$G$49,MATCH(orders!$D366,products!$A$1:$A$49,0),MATCH(orders!K$1,products!$A$1:$G$1,0))</f>
        <v>1</v>
      </c>
      <c r="L366" s="5">
        <f>INDEX(products!$A$1:$G$49,MATCH(orders!$D366,products!$A$1:$A$49,0),MATCH(orders!L$1,products!$A$1:$G$1,0))</f>
        <v>12.15</v>
      </c>
      <c r="M366" s="4">
        <f t="shared" si="15"/>
        <v>72.900000000000006</v>
      </c>
      <c r="N366" t="str">
        <f t="shared" si="16"/>
        <v>Excelsa</v>
      </c>
      <c r="O366" t="str">
        <f t="shared" si="17"/>
        <v>Dark</v>
      </c>
      <c r="P366" t="str">
        <f>_xlfn.XLOOKUP(Table1[[#This Row],[Customer ID]],customers!$A$1:$A$1001,customers!$I$1:$I$1001,,0)</f>
        <v>Yes</v>
      </c>
    </row>
    <row r="367" spans="1:16" x14ac:dyDescent="0.3">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6">
        <f>INDEX(products!$A$1:$G$49,MATCH(orders!$D367,products!$A$1:$A$49,0),MATCH(orders!K$1,products!$A$1:$G$1,0))</f>
        <v>0.5</v>
      </c>
      <c r="L367" s="5">
        <f>INDEX(products!$A$1:$G$49,MATCH(orders!$D367,products!$A$1:$A$49,0),MATCH(orders!L$1,products!$A$1:$G$1,0))</f>
        <v>7.77</v>
      </c>
      <c r="M367" s="4">
        <f t="shared" si="15"/>
        <v>7.77</v>
      </c>
      <c r="N367" t="str">
        <f t="shared" si="16"/>
        <v>Librica</v>
      </c>
      <c r="O367" t="str">
        <f t="shared" si="17"/>
        <v>Dark</v>
      </c>
      <c r="P367" t="str">
        <f>_xlfn.XLOOKUP(Table1[[#This Row],[Customer ID]],customers!$A$1:$A$1001,customers!$I$1:$I$1001,,0)</f>
        <v>No</v>
      </c>
    </row>
    <row r="368" spans="1:16" x14ac:dyDescent="0.3">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6">
        <f>INDEX(products!$A$1:$G$49,MATCH(orders!$D368,products!$A$1:$A$49,0),MATCH(orders!K$1,products!$A$1:$G$1,0))</f>
        <v>0.5</v>
      </c>
      <c r="L368" s="5">
        <f>INDEX(products!$A$1:$G$49,MATCH(orders!$D368,products!$A$1:$A$49,0),MATCH(orders!L$1,products!$A$1:$G$1,0))</f>
        <v>7.29</v>
      </c>
      <c r="M368" s="4">
        <f t="shared" si="15"/>
        <v>43.74</v>
      </c>
      <c r="N368" t="str">
        <f t="shared" si="16"/>
        <v>Excelsa</v>
      </c>
      <c r="O368" t="str">
        <f t="shared" si="17"/>
        <v>Dark</v>
      </c>
      <c r="P368" t="str">
        <f>_xlfn.XLOOKUP(Table1[[#This Row],[Customer ID]],customers!$A$1:$A$1001,customers!$I$1:$I$1001,,0)</f>
        <v>No</v>
      </c>
    </row>
    <row r="369" spans="1:16" x14ac:dyDescent="0.3">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6">
        <f>INDEX(products!$A$1:$G$49,MATCH(orders!$D369,products!$A$1:$A$49,0),MATCH(orders!K$1,products!$A$1:$G$1,0))</f>
        <v>0.2</v>
      </c>
      <c r="L369" s="5">
        <f>INDEX(products!$A$1:$G$49,MATCH(orders!$D369,products!$A$1:$A$49,0),MATCH(orders!L$1,products!$A$1:$G$1,0))</f>
        <v>4.3650000000000002</v>
      </c>
      <c r="M369" s="4">
        <f t="shared" si="15"/>
        <v>8.73</v>
      </c>
      <c r="N369" t="str">
        <f t="shared" si="16"/>
        <v>Librica</v>
      </c>
      <c r="O369" t="str">
        <f t="shared" si="17"/>
        <v>Medium</v>
      </c>
      <c r="P369" t="str">
        <f>_xlfn.XLOOKUP(Table1[[#This Row],[Customer ID]],customers!$A$1:$A$1001,customers!$I$1:$I$1001,,0)</f>
        <v>Yes</v>
      </c>
    </row>
    <row r="370" spans="1:16" x14ac:dyDescent="0.3">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6">
        <f>INDEX(products!$A$1:$G$49,MATCH(orders!$D370,products!$A$1:$A$49,0),MATCH(orders!K$1,products!$A$1:$G$1,0))</f>
        <v>2.5</v>
      </c>
      <c r="L370" s="5">
        <f>INDEX(products!$A$1:$G$49,MATCH(orders!$D370,products!$A$1:$A$49,0),MATCH(orders!L$1,products!$A$1:$G$1,0))</f>
        <v>31.624999999999996</v>
      </c>
      <c r="M370" s="4">
        <f t="shared" si="15"/>
        <v>63.249999999999993</v>
      </c>
      <c r="N370" t="str">
        <f t="shared" si="16"/>
        <v>Excelsa</v>
      </c>
      <c r="O370" t="str">
        <f t="shared" si="17"/>
        <v>Medium</v>
      </c>
      <c r="P370" t="str">
        <f>_xlfn.XLOOKUP(Table1[[#This Row],[Customer ID]],customers!$A$1:$A$1001,customers!$I$1:$I$1001,,0)</f>
        <v>No</v>
      </c>
    </row>
    <row r="371" spans="1:16" x14ac:dyDescent="0.3">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6">
        <f>INDEX(products!$A$1:$G$49,MATCH(orders!$D371,products!$A$1:$A$49,0),MATCH(orders!K$1,products!$A$1:$G$1,0))</f>
        <v>0.5</v>
      </c>
      <c r="L371" s="5">
        <f>INDEX(products!$A$1:$G$49,MATCH(orders!$D371,products!$A$1:$A$49,0),MATCH(orders!L$1,products!$A$1:$G$1,0))</f>
        <v>8.91</v>
      </c>
      <c r="M371" s="4">
        <f t="shared" si="15"/>
        <v>8.91</v>
      </c>
      <c r="N371" t="str">
        <f t="shared" si="16"/>
        <v>Excelsa</v>
      </c>
      <c r="O371" t="str">
        <f t="shared" si="17"/>
        <v>Light</v>
      </c>
      <c r="P371" t="str">
        <f>_xlfn.XLOOKUP(Table1[[#This Row],[Customer ID]],customers!$A$1:$A$1001,customers!$I$1:$I$1001,,0)</f>
        <v>Yes</v>
      </c>
    </row>
    <row r="372" spans="1:16" x14ac:dyDescent="0.3">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6">
        <f>INDEX(products!$A$1:$G$49,MATCH(orders!$D372,products!$A$1:$A$49,0),MATCH(orders!K$1,products!$A$1:$G$1,0))</f>
        <v>1</v>
      </c>
      <c r="L372" s="5">
        <f>INDEX(products!$A$1:$G$49,MATCH(orders!$D372,products!$A$1:$A$49,0),MATCH(orders!L$1,products!$A$1:$G$1,0))</f>
        <v>12.15</v>
      </c>
      <c r="M372" s="4">
        <f t="shared" si="15"/>
        <v>24.3</v>
      </c>
      <c r="N372" t="str">
        <f t="shared" si="16"/>
        <v>Excelsa</v>
      </c>
      <c r="O372" t="str">
        <f t="shared" si="17"/>
        <v>Dark</v>
      </c>
      <c r="P372" t="str">
        <f>_xlfn.XLOOKUP(Table1[[#This Row],[Customer ID]],customers!$A$1:$A$1001,customers!$I$1:$I$1001,,0)</f>
        <v>Yes</v>
      </c>
    </row>
    <row r="373" spans="1:16" x14ac:dyDescent="0.3">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6">
        <f>INDEX(products!$A$1:$G$49,MATCH(orders!$D373,products!$A$1:$A$49,0),MATCH(orders!K$1,products!$A$1:$G$1,0))</f>
        <v>0.5</v>
      </c>
      <c r="L373" s="5">
        <f>INDEX(products!$A$1:$G$49,MATCH(orders!$D373,products!$A$1:$A$49,0),MATCH(orders!L$1,products!$A$1:$G$1,0))</f>
        <v>7.77</v>
      </c>
      <c r="M373" s="4">
        <f t="shared" si="15"/>
        <v>46.62</v>
      </c>
      <c r="N373" t="str">
        <f t="shared" si="16"/>
        <v>Arabica</v>
      </c>
      <c r="O373" t="str">
        <f t="shared" si="17"/>
        <v>Light</v>
      </c>
      <c r="P373" t="str">
        <f>_xlfn.XLOOKUP(Table1[[#This Row],[Customer ID]],customers!$A$1:$A$1001,customers!$I$1:$I$1001,,0)</f>
        <v>Yes</v>
      </c>
    </row>
    <row r="374" spans="1:16" x14ac:dyDescent="0.3">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6">
        <f>INDEX(products!$A$1:$G$49,MATCH(orders!$D374,products!$A$1:$A$49,0),MATCH(orders!K$1,products!$A$1:$G$1,0))</f>
        <v>0.5</v>
      </c>
      <c r="L374" s="5">
        <f>INDEX(products!$A$1:$G$49,MATCH(orders!$D374,products!$A$1:$A$49,0),MATCH(orders!L$1,products!$A$1:$G$1,0))</f>
        <v>7.169999999999999</v>
      </c>
      <c r="M374" s="4">
        <f t="shared" si="15"/>
        <v>43.019999999999996</v>
      </c>
      <c r="N374" t="str">
        <f t="shared" si="16"/>
        <v>Robusta</v>
      </c>
      <c r="O374" t="str">
        <f t="shared" si="17"/>
        <v>Light</v>
      </c>
      <c r="P374" t="str">
        <f>_xlfn.XLOOKUP(Table1[[#This Row],[Customer ID]],customers!$A$1:$A$1001,customers!$I$1:$I$1001,,0)</f>
        <v>No</v>
      </c>
    </row>
    <row r="375" spans="1:16" x14ac:dyDescent="0.3">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6">
        <f>INDEX(products!$A$1:$G$49,MATCH(orders!$D375,products!$A$1:$A$49,0),MATCH(orders!K$1,products!$A$1:$G$1,0))</f>
        <v>0.5</v>
      </c>
      <c r="L375" s="5">
        <f>INDEX(products!$A$1:$G$49,MATCH(orders!$D375,products!$A$1:$A$49,0),MATCH(orders!L$1,products!$A$1:$G$1,0))</f>
        <v>5.97</v>
      </c>
      <c r="M375" s="4">
        <f t="shared" si="15"/>
        <v>17.91</v>
      </c>
      <c r="N375" t="str">
        <f t="shared" si="16"/>
        <v>Arabica</v>
      </c>
      <c r="O375" t="str">
        <f t="shared" si="17"/>
        <v>Dark</v>
      </c>
      <c r="P375" t="str">
        <f>_xlfn.XLOOKUP(Table1[[#This Row],[Customer ID]],customers!$A$1:$A$1001,customers!$I$1:$I$1001,,0)</f>
        <v>Yes</v>
      </c>
    </row>
    <row r="376" spans="1:16" x14ac:dyDescent="0.3">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6">
        <f>INDEX(products!$A$1:$G$49,MATCH(orders!$D376,products!$A$1:$A$49,0),MATCH(orders!K$1,products!$A$1:$G$1,0))</f>
        <v>0.5</v>
      </c>
      <c r="L376" s="5">
        <f>INDEX(products!$A$1:$G$49,MATCH(orders!$D376,products!$A$1:$A$49,0),MATCH(orders!L$1,products!$A$1:$G$1,0))</f>
        <v>9.51</v>
      </c>
      <c r="M376" s="4">
        <f t="shared" si="15"/>
        <v>38.04</v>
      </c>
      <c r="N376" t="str">
        <f t="shared" si="16"/>
        <v>Librica</v>
      </c>
      <c r="O376" t="str">
        <f t="shared" si="17"/>
        <v>Light</v>
      </c>
      <c r="P376" t="str">
        <f>_xlfn.XLOOKUP(Table1[[#This Row],[Customer ID]],customers!$A$1:$A$1001,customers!$I$1:$I$1001,,0)</f>
        <v>Yes</v>
      </c>
    </row>
    <row r="377" spans="1:16" x14ac:dyDescent="0.3">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6">
        <f>INDEX(products!$A$1:$G$49,MATCH(orders!$D377,products!$A$1:$A$49,0),MATCH(orders!K$1,products!$A$1:$G$1,0))</f>
        <v>0.2</v>
      </c>
      <c r="L377" s="5">
        <f>INDEX(products!$A$1:$G$49,MATCH(orders!$D377,products!$A$1:$A$49,0),MATCH(orders!L$1,products!$A$1:$G$1,0))</f>
        <v>3.375</v>
      </c>
      <c r="M377" s="4">
        <f t="shared" si="15"/>
        <v>6.75</v>
      </c>
      <c r="N377" t="str">
        <f t="shared" si="16"/>
        <v>Arabica</v>
      </c>
      <c r="O377" t="str">
        <f t="shared" si="17"/>
        <v>Medium</v>
      </c>
      <c r="P377" t="str">
        <f>_xlfn.XLOOKUP(Table1[[#This Row],[Customer ID]],customers!$A$1:$A$1001,customers!$I$1:$I$1001,,0)</f>
        <v>Yes</v>
      </c>
    </row>
    <row r="378" spans="1:16" x14ac:dyDescent="0.3">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6">
        <f>INDEX(products!$A$1:$G$49,MATCH(orders!$D378,products!$A$1:$A$49,0),MATCH(orders!K$1,products!$A$1:$G$1,0))</f>
        <v>0.5</v>
      </c>
      <c r="L378" s="5">
        <f>INDEX(products!$A$1:$G$49,MATCH(orders!$D378,products!$A$1:$A$49,0),MATCH(orders!L$1,products!$A$1:$G$1,0))</f>
        <v>5.97</v>
      </c>
      <c r="M378" s="4">
        <f t="shared" si="15"/>
        <v>5.97</v>
      </c>
      <c r="N378" t="str">
        <f t="shared" si="16"/>
        <v>Robusta</v>
      </c>
      <c r="O378" t="str">
        <f t="shared" si="17"/>
        <v>Medium</v>
      </c>
      <c r="P378" t="str">
        <f>_xlfn.XLOOKUP(Table1[[#This Row],[Customer ID]],customers!$A$1:$A$1001,customers!$I$1:$I$1001,,0)</f>
        <v>Yes</v>
      </c>
    </row>
    <row r="379" spans="1:16" x14ac:dyDescent="0.3">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6">
        <f>INDEX(products!$A$1:$G$49,MATCH(orders!$D379,products!$A$1:$A$49,0),MATCH(orders!K$1,products!$A$1:$G$1,0))</f>
        <v>0.2</v>
      </c>
      <c r="L379" s="5">
        <f>INDEX(products!$A$1:$G$49,MATCH(orders!$D379,products!$A$1:$A$49,0),MATCH(orders!L$1,products!$A$1:$G$1,0))</f>
        <v>2.6849999999999996</v>
      </c>
      <c r="M379" s="4">
        <f t="shared" si="15"/>
        <v>8.0549999999999997</v>
      </c>
      <c r="N379" t="str">
        <f t="shared" si="16"/>
        <v>Robusta</v>
      </c>
      <c r="O379" t="str">
        <f t="shared" si="17"/>
        <v>Dark</v>
      </c>
      <c r="P379" t="str">
        <f>_xlfn.XLOOKUP(Table1[[#This Row],[Customer ID]],customers!$A$1:$A$1001,customers!$I$1:$I$1001,,0)</f>
        <v>No</v>
      </c>
    </row>
    <row r="380" spans="1:16" x14ac:dyDescent="0.3">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6">
        <f>INDEX(products!$A$1:$G$49,MATCH(orders!$D380,products!$A$1:$A$49,0),MATCH(orders!K$1,products!$A$1:$G$1,0))</f>
        <v>0.5</v>
      </c>
      <c r="L380" s="5">
        <f>INDEX(products!$A$1:$G$49,MATCH(orders!$D380,products!$A$1:$A$49,0),MATCH(orders!L$1,products!$A$1:$G$1,0))</f>
        <v>7.77</v>
      </c>
      <c r="M380" s="4">
        <f t="shared" si="15"/>
        <v>23.31</v>
      </c>
      <c r="N380" t="str">
        <f t="shared" si="16"/>
        <v>Arabica</v>
      </c>
      <c r="O380" t="str">
        <f t="shared" si="17"/>
        <v>Light</v>
      </c>
      <c r="P380" t="str">
        <f>_xlfn.XLOOKUP(Table1[[#This Row],[Customer ID]],customers!$A$1:$A$1001,customers!$I$1:$I$1001,,0)</f>
        <v>Yes</v>
      </c>
    </row>
    <row r="381" spans="1:16" x14ac:dyDescent="0.3">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6">
        <f>INDEX(products!$A$1:$G$49,MATCH(orders!$D381,products!$A$1:$A$49,0),MATCH(orders!K$1,products!$A$1:$G$1,0))</f>
        <v>0.5</v>
      </c>
      <c r="L381" s="5">
        <f>INDEX(products!$A$1:$G$49,MATCH(orders!$D381,products!$A$1:$A$49,0),MATCH(orders!L$1,products!$A$1:$G$1,0))</f>
        <v>7.169999999999999</v>
      </c>
      <c r="M381" s="4">
        <f t="shared" si="15"/>
        <v>43.019999999999996</v>
      </c>
      <c r="N381" t="str">
        <f t="shared" si="16"/>
        <v>Robusta</v>
      </c>
      <c r="O381" t="str">
        <f t="shared" si="17"/>
        <v>Light</v>
      </c>
      <c r="P381" t="str">
        <f>_xlfn.XLOOKUP(Table1[[#This Row],[Customer ID]],customers!$A$1:$A$1001,customers!$I$1:$I$1001,,0)</f>
        <v>Yes</v>
      </c>
    </row>
    <row r="382" spans="1:16" x14ac:dyDescent="0.3">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6">
        <f>INDEX(products!$A$1:$G$49,MATCH(orders!$D382,products!$A$1:$A$49,0),MATCH(orders!K$1,products!$A$1:$G$1,0))</f>
        <v>0.5</v>
      </c>
      <c r="L382" s="5">
        <f>INDEX(products!$A$1:$G$49,MATCH(orders!$D382,products!$A$1:$A$49,0),MATCH(orders!L$1,products!$A$1:$G$1,0))</f>
        <v>7.77</v>
      </c>
      <c r="M382" s="4">
        <f t="shared" si="15"/>
        <v>23.31</v>
      </c>
      <c r="N382" t="str">
        <f t="shared" si="16"/>
        <v>Librica</v>
      </c>
      <c r="O382" t="str">
        <f t="shared" si="17"/>
        <v>Dark</v>
      </c>
      <c r="P382" t="str">
        <f>_xlfn.XLOOKUP(Table1[[#This Row],[Customer ID]],customers!$A$1:$A$1001,customers!$I$1:$I$1001,,0)</f>
        <v>No</v>
      </c>
    </row>
    <row r="383" spans="1:16" x14ac:dyDescent="0.3">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6">
        <f>INDEX(products!$A$1:$G$49,MATCH(orders!$D383,products!$A$1:$A$49,0),MATCH(orders!K$1,products!$A$1:$G$1,0))</f>
        <v>0.2</v>
      </c>
      <c r="L383" s="5">
        <f>INDEX(products!$A$1:$G$49,MATCH(orders!$D383,products!$A$1:$A$49,0),MATCH(orders!L$1,products!$A$1:$G$1,0))</f>
        <v>2.9849999999999999</v>
      </c>
      <c r="M383" s="4">
        <f t="shared" si="15"/>
        <v>14.924999999999999</v>
      </c>
      <c r="N383" t="str">
        <f t="shared" si="16"/>
        <v>Arabica</v>
      </c>
      <c r="O383" t="str">
        <f t="shared" si="17"/>
        <v>Dark</v>
      </c>
      <c r="P383" t="str">
        <f>_xlfn.XLOOKUP(Table1[[#This Row],[Customer ID]],customers!$A$1:$A$1001,customers!$I$1:$I$1001,,0)</f>
        <v>Yes</v>
      </c>
    </row>
    <row r="384" spans="1:16" x14ac:dyDescent="0.3">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6">
        <f>INDEX(products!$A$1:$G$49,MATCH(orders!$D384,products!$A$1:$A$49,0),MATCH(orders!K$1,products!$A$1:$G$1,0))</f>
        <v>0.5</v>
      </c>
      <c r="L384" s="5">
        <f>INDEX(products!$A$1:$G$49,MATCH(orders!$D384,products!$A$1:$A$49,0),MATCH(orders!L$1,products!$A$1:$G$1,0))</f>
        <v>7.29</v>
      </c>
      <c r="M384" s="4">
        <f t="shared" si="15"/>
        <v>21.87</v>
      </c>
      <c r="N384" t="str">
        <f t="shared" si="16"/>
        <v>Excelsa</v>
      </c>
      <c r="O384" t="str">
        <f t="shared" si="17"/>
        <v>Dark</v>
      </c>
      <c r="P384" t="str">
        <f>_xlfn.XLOOKUP(Table1[[#This Row],[Customer ID]],customers!$A$1:$A$1001,customers!$I$1:$I$1001,,0)</f>
        <v>No</v>
      </c>
    </row>
    <row r="385" spans="1:16" x14ac:dyDescent="0.3">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6">
        <f>INDEX(products!$A$1:$G$49,MATCH(orders!$D385,products!$A$1:$A$49,0),MATCH(orders!K$1,products!$A$1:$G$1,0))</f>
        <v>0.5</v>
      </c>
      <c r="L385" s="5">
        <f>INDEX(products!$A$1:$G$49,MATCH(orders!$D385,products!$A$1:$A$49,0),MATCH(orders!L$1,products!$A$1:$G$1,0))</f>
        <v>8.91</v>
      </c>
      <c r="M385" s="4">
        <f t="shared" si="15"/>
        <v>53.46</v>
      </c>
      <c r="N385" t="str">
        <f t="shared" si="16"/>
        <v>Excelsa</v>
      </c>
      <c r="O385" t="str">
        <f t="shared" si="17"/>
        <v>Light</v>
      </c>
      <c r="P385" t="str">
        <f>_xlfn.XLOOKUP(Table1[[#This Row],[Customer ID]],customers!$A$1:$A$1001,customers!$I$1:$I$1001,,0)</f>
        <v>Yes</v>
      </c>
    </row>
    <row r="386" spans="1:16" x14ac:dyDescent="0.3">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6">
        <f>INDEX(products!$A$1:$G$49,MATCH(orders!$D386,products!$A$1:$A$49,0),MATCH(orders!K$1,products!$A$1:$G$1,0))</f>
        <v>2.5</v>
      </c>
      <c r="L386" s="5">
        <f>INDEX(products!$A$1:$G$49,MATCH(orders!$D386,products!$A$1:$A$49,0),MATCH(orders!L$1,products!$A$1:$G$1,0))</f>
        <v>29.784999999999997</v>
      </c>
      <c r="M386" s="4">
        <f t="shared" si="15"/>
        <v>119.13999999999999</v>
      </c>
      <c r="N386" t="str">
        <f t="shared" si="16"/>
        <v>Arabica</v>
      </c>
      <c r="O386" t="str">
        <f t="shared" si="17"/>
        <v>Light</v>
      </c>
      <c r="P386" t="str">
        <f>_xlfn.XLOOKUP(Table1[[#This Row],[Customer ID]],customers!$A$1:$A$1001,customers!$I$1:$I$1001,,0)</f>
        <v>No</v>
      </c>
    </row>
    <row r="387" spans="1:16" x14ac:dyDescent="0.3">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6">
        <f>INDEX(products!$A$1:$G$49,MATCH(orders!$D387,products!$A$1:$A$49,0),MATCH(orders!K$1,products!$A$1:$G$1,0))</f>
        <v>0.5</v>
      </c>
      <c r="L387" s="5">
        <f>INDEX(products!$A$1:$G$49,MATCH(orders!$D387,products!$A$1:$A$49,0),MATCH(orders!L$1,products!$A$1:$G$1,0))</f>
        <v>8.73</v>
      </c>
      <c r="M387" s="4">
        <f t="shared" ref="M387:M450" si="18">L387*E387</f>
        <v>43.650000000000006</v>
      </c>
      <c r="N387" t="str">
        <f t="shared" ref="N387:N450" si="19">IF(I387="Rob","Robusta",IF(I387="Exc","Excelsa",IF(I387="Ara","Arabica",IF(I387="Lib","Librica",""))))</f>
        <v>Librica</v>
      </c>
      <c r="O387" t="str">
        <f t="shared" ref="O387:O450" si="20">IF(J387="M","Medium",IF(J387="L","Light",IF(J387="D","Dark","")))</f>
        <v>Medium</v>
      </c>
      <c r="P387" t="str">
        <f>_xlfn.XLOOKUP(Table1[[#This Row],[Customer ID]],customers!$A$1:$A$1001,customers!$I$1:$I$1001,,0)</f>
        <v>Yes</v>
      </c>
    </row>
    <row r="388" spans="1:16" x14ac:dyDescent="0.3">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6">
        <f>INDEX(products!$A$1:$G$49,MATCH(orders!$D388,products!$A$1:$A$49,0),MATCH(orders!K$1,products!$A$1:$G$1,0))</f>
        <v>0.2</v>
      </c>
      <c r="L388" s="5">
        <f>INDEX(products!$A$1:$G$49,MATCH(orders!$D388,products!$A$1:$A$49,0),MATCH(orders!L$1,products!$A$1:$G$1,0))</f>
        <v>2.9849999999999999</v>
      </c>
      <c r="M388" s="4">
        <f t="shared" si="18"/>
        <v>17.91</v>
      </c>
      <c r="N388" t="str">
        <f t="shared" si="19"/>
        <v>Arabica</v>
      </c>
      <c r="O388" t="str">
        <f t="shared" si="20"/>
        <v>Dark</v>
      </c>
      <c r="P388" t="str">
        <f>_xlfn.XLOOKUP(Table1[[#This Row],[Customer ID]],customers!$A$1:$A$1001,customers!$I$1:$I$1001,,0)</f>
        <v>Yes</v>
      </c>
    </row>
    <row r="389" spans="1:16" x14ac:dyDescent="0.3">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6">
        <f>INDEX(products!$A$1:$G$49,MATCH(orders!$D389,products!$A$1:$A$49,0),MATCH(orders!K$1,products!$A$1:$G$1,0))</f>
        <v>1</v>
      </c>
      <c r="L389" s="5">
        <f>INDEX(products!$A$1:$G$49,MATCH(orders!$D389,products!$A$1:$A$49,0),MATCH(orders!L$1,products!$A$1:$G$1,0))</f>
        <v>14.85</v>
      </c>
      <c r="M389" s="4">
        <f t="shared" si="18"/>
        <v>74.25</v>
      </c>
      <c r="N389" t="str">
        <f t="shared" si="19"/>
        <v>Excelsa</v>
      </c>
      <c r="O389" t="str">
        <f t="shared" si="20"/>
        <v>Light</v>
      </c>
      <c r="P389" t="str">
        <f>_xlfn.XLOOKUP(Table1[[#This Row],[Customer ID]],customers!$A$1:$A$1001,customers!$I$1:$I$1001,,0)</f>
        <v>Yes</v>
      </c>
    </row>
    <row r="390" spans="1:16" x14ac:dyDescent="0.3">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6">
        <f>INDEX(products!$A$1:$G$49,MATCH(orders!$D390,products!$A$1:$A$49,0),MATCH(orders!K$1,products!$A$1:$G$1,0))</f>
        <v>0.2</v>
      </c>
      <c r="L390" s="5">
        <f>INDEX(products!$A$1:$G$49,MATCH(orders!$D390,products!$A$1:$A$49,0),MATCH(orders!L$1,products!$A$1:$G$1,0))</f>
        <v>3.8849999999999998</v>
      </c>
      <c r="M390" s="4">
        <f t="shared" si="18"/>
        <v>11.654999999999999</v>
      </c>
      <c r="N390" t="str">
        <f t="shared" si="19"/>
        <v>Librica</v>
      </c>
      <c r="O390" t="str">
        <f t="shared" si="20"/>
        <v>Dark</v>
      </c>
      <c r="P390" t="str">
        <f>_xlfn.XLOOKUP(Table1[[#This Row],[Customer ID]],customers!$A$1:$A$1001,customers!$I$1:$I$1001,,0)</f>
        <v>Yes</v>
      </c>
    </row>
    <row r="391" spans="1:16" x14ac:dyDescent="0.3">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6">
        <f>INDEX(products!$A$1:$G$49,MATCH(orders!$D391,products!$A$1:$A$49,0),MATCH(orders!K$1,products!$A$1:$G$1,0))</f>
        <v>0.5</v>
      </c>
      <c r="L391" s="5">
        <f>INDEX(products!$A$1:$G$49,MATCH(orders!$D391,products!$A$1:$A$49,0),MATCH(orders!L$1,products!$A$1:$G$1,0))</f>
        <v>7.77</v>
      </c>
      <c r="M391" s="4">
        <f t="shared" si="18"/>
        <v>23.31</v>
      </c>
      <c r="N391" t="str">
        <f t="shared" si="19"/>
        <v>Librica</v>
      </c>
      <c r="O391" t="str">
        <f t="shared" si="20"/>
        <v>Dark</v>
      </c>
      <c r="P391" t="str">
        <f>_xlfn.XLOOKUP(Table1[[#This Row],[Customer ID]],customers!$A$1:$A$1001,customers!$I$1:$I$1001,,0)</f>
        <v>Yes</v>
      </c>
    </row>
    <row r="392" spans="1:16" x14ac:dyDescent="0.3">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6">
        <f>INDEX(products!$A$1:$G$49,MATCH(orders!$D392,products!$A$1:$A$49,0),MATCH(orders!K$1,products!$A$1:$G$1,0))</f>
        <v>0.5</v>
      </c>
      <c r="L392" s="5">
        <f>INDEX(products!$A$1:$G$49,MATCH(orders!$D392,products!$A$1:$A$49,0),MATCH(orders!L$1,products!$A$1:$G$1,0))</f>
        <v>7.29</v>
      </c>
      <c r="M392" s="4">
        <f t="shared" si="18"/>
        <v>14.58</v>
      </c>
      <c r="N392" t="str">
        <f t="shared" si="19"/>
        <v>Excelsa</v>
      </c>
      <c r="O392" t="str">
        <f t="shared" si="20"/>
        <v>Dark</v>
      </c>
      <c r="P392" t="str">
        <f>_xlfn.XLOOKUP(Table1[[#This Row],[Customer ID]],customers!$A$1:$A$1001,customers!$I$1:$I$1001,,0)</f>
        <v>Yes</v>
      </c>
    </row>
    <row r="393" spans="1:16" x14ac:dyDescent="0.3">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6">
        <f>INDEX(products!$A$1:$G$49,MATCH(orders!$D393,products!$A$1:$A$49,0),MATCH(orders!K$1,products!$A$1:$G$1,0))</f>
        <v>0.5</v>
      </c>
      <c r="L393" s="5">
        <f>INDEX(products!$A$1:$G$49,MATCH(orders!$D393,products!$A$1:$A$49,0),MATCH(orders!L$1,products!$A$1:$G$1,0))</f>
        <v>6.75</v>
      </c>
      <c r="M393" s="4">
        <f t="shared" si="18"/>
        <v>13.5</v>
      </c>
      <c r="N393" t="str">
        <f t="shared" si="19"/>
        <v>Arabica</v>
      </c>
      <c r="O393" t="str">
        <f t="shared" si="20"/>
        <v>Medium</v>
      </c>
      <c r="P393" t="str">
        <f>_xlfn.XLOOKUP(Table1[[#This Row],[Customer ID]],customers!$A$1:$A$1001,customers!$I$1:$I$1001,,0)</f>
        <v>No</v>
      </c>
    </row>
    <row r="394" spans="1:16" x14ac:dyDescent="0.3">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6">
        <f>INDEX(products!$A$1:$G$49,MATCH(orders!$D394,products!$A$1:$A$49,0),MATCH(orders!K$1,products!$A$1:$G$1,0))</f>
        <v>1</v>
      </c>
      <c r="L394" s="5">
        <f>INDEX(products!$A$1:$G$49,MATCH(orders!$D394,products!$A$1:$A$49,0),MATCH(orders!L$1,products!$A$1:$G$1,0))</f>
        <v>14.85</v>
      </c>
      <c r="M394" s="4">
        <f t="shared" si="18"/>
        <v>89.1</v>
      </c>
      <c r="N394" t="str">
        <f t="shared" si="19"/>
        <v>Excelsa</v>
      </c>
      <c r="O394" t="str">
        <f t="shared" si="20"/>
        <v>Light</v>
      </c>
      <c r="P394" t="str">
        <f>_xlfn.XLOOKUP(Table1[[#This Row],[Customer ID]],customers!$A$1:$A$1001,customers!$I$1:$I$1001,,0)</f>
        <v>No</v>
      </c>
    </row>
    <row r="395" spans="1:16" x14ac:dyDescent="0.3">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6">
        <f>INDEX(products!$A$1:$G$49,MATCH(orders!$D395,products!$A$1:$A$49,0),MATCH(orders!K$1,products!$A$1:$G$1,0))</f>
        <v>0.2</v>
      </c>
      <c r="L395" s="5">
        <f>INDEX(products!$A$1:$G$49,MATCH(orders!$D395,products!$A$1:$A$49,0),MATCH(orders!L$1,products!$A$1:$G$1,0))</f>
        <v>3.8849999999999998</v>
      </c>
      <c r="M395" s="4">
        <f t="shared" si="18"/>
        <v>3.8849999999999998</v>
      </c>
      <c r="N395" t="str">
        <f t="shared" si="19"/>
        <v>Arabica</v>
      </c>
      <c r="O395" t="str">
        <f t="shared" si="20"/>
        <v>Light</v>
      </c>
      <c r="P395" t="str">
        <f>_xlfn.XLOOKUP(Table1[[#This Row],[Customer ID]],customers!$A$1:$A$1001,customers!$I$1:$I$1001,,0)</f>
        <v>No</v>
      </c>
    </row>
    <row r="396" spans="1:16" x14ac:dyDescent="0.3">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6">
        <f>INDEX(products!$A$1:$G$49,MATCH(orders!$D396,products!$A$1:$A$49,0),MATCH(orders!K$1,products!$A$1:$G$1,0))</f>
        <v>2.5</v>
      </c>
      <c r="L396" s="5">
        <f>INDEX(products!$A$1:$G$49,MATCH(orders!$D396,products!$A$1:$A$49,0),MATCH(orders!L$1,products!$A$1:$G$1,0))</f>
        <v>27.484999999999996</v>
      </c>
      <c r="M396" s="4">
        <f t="shared" si="18"/>
        <v>109.93999999999998</v>
      </c>
      <c r="N396" t="str">
        <f t="shared" si="19"/>
        <v>Robusta</v>
      </c>
      <c r="O396" t="str">
        <f t="shared" si="20"/>
        <v>Light</v>
      </c>
      <c r="P396" t="str">
        <f>_xlfn.XLOOKUP(Table1[[#This Row],[Customer ID]],customers!$A$1:$A$1001,customers!$I$1:$I$1001,,0)</f>
        <v>No</v>
      </c>
    </row>
    <row r="397" spans="1:16" x14ac:dyDescent="0.3">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6">
        <f>INDEX(products!$A$1:$G$49,MATCH(orders!$D397,products!$A$1:$A$49,0),MATCH(orders!K$1,products!$A$1:$G$1,0))</f>
        <v>0.5</v>
      </c>
      <c r="L397" s="5">
        <f>INDEX(products!$A$1:$G$49,MATCH(orders!$D397,products!$A$1:$A$49,0),MATCH(orders!L$1,products!$A$1:$G$1,0))</f>
        <v>7.77</v>
      </c>
      <c r="M397" s="4">
        <f t="shared" si="18"/>
        <v>46.62</v>
      </c>
      <c r="N397" t="str">
        <f t="shared" si="19"/>
        <v>Librica</v>
      </c>
      <c r="O397" t="str">
        <f t="shared" si="20"/>
        <v>Dark</v>
      </c>
      <c r="P397" t="str">
        <f>_xlfn.XLOOKUP(Table1[[#This Row],[Customer ID]],customers!$A$1:$A$1001,customers!$I$1:$I$1001,,0)</f>
        <v>Yes</v>
      </c>
    </row>
    <row r="398" spans="1:16" x14ac:dyDescent="0.3">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6">
        <f>INDEX(products!$A$1:$G$49,MATCH(orders!$D398,products!$A$1:$A$49,0),MATCH(orders!K$1,products!$A$1:$G$1,0))</f>
        <v>0.5</v>
      </c>
      <c r="L398" s="5">
        <f>INDEX(products!$A$1:$G$49,MATCH(orders!$D398,products!$A$1:$A$49,0),MATCH(orders!L$1,products!$A$1:$G$1,0))</f>
        <v>7.77</v>
      </c>
      <c r="M398" s="4">
        <f t="shared" si="18"/>
        <v>38.849999999999994</v>
      </c>
      <c r="N398" t="str">
        <f t="shared" si="19"/>
        <v>Arabica</v>
      </c>
      <c r="O398" t="str">
        <f t="shared" si="20"/>
        <v>Light</v>
      </c>
      <c r="P398" t="str">
        <f>_xlfn.XLOOKUP(Table1[[#This Row],[Customer ID]],customers!$A$1:$A$1001,customers!$I$1:$I$1001,,0)</f>
        <v>No</v>
      </c>
    </row>
    <row r="399" spans="1:16" x14ac:dyDescent="0.3">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6">
        <f>INDEX(products!$A$1:$G$49,MATCH(orders!$D399,products!$A$1:$A$49,0),MATCH(orders!K$1,products!$A$1:$G$1,0))</f>
        <v>0.5</v>
      </c>
      <c r="L399" s="5">
        <f>INDEX(products!$A$1:$G$49,MATCH(orders!$D399,products!$A$1:$A$49,0),MATCH(orders!L$1,products!$A$1:$G$1,0))</f>
        <v>7.77</v>
      </c>
      <c r="M399" s="4">
        <f t="shared" si="18"/>
        <v>31.08</v>
      </c>
      <c r="N399" t="str">
        <f t="shared" si="19"/>
        <v>Librica</v>
      </c>
      <c r="O399" t="str">
        <f t="shared" si="20"/>
        <v>Dark</v>
      </c>
      <c r="P399" t="str">
        <f>_xlfn.XLOOKUP(Table1[[#This Row],[Customer ID]],customers!$A$1:$A$1001,customers!$I$1:$I$1001,,0)</f>
        <v>Yes</v>
      </c>
    </row>
    <row r="400" spans="1:16" x14ac:dyDescent="0.3">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6">
        <f>INDEX(products!$A$1:$G$49,MATCH(orders!$D400,products!$A$1:$A$49,0),MATCH(orders!K$1,products!$A$1:$G$1,0))</f>
        <v>0.2</v>
      </c>
      <c r="L400" s="5">
        <f>INDEX(products!$A$1:$G$49,MATCH(orders!$D400,products!$A$1:$A$49,0),MATCH(orders!L$1,products!$A$1:$G$1,0))</f>
        <v>2.9849999999999999</v>
      </c>
      <c r="M400" s="4">
        <f t="shared" si="18"/>
        <v>17.91</v>
      </c>
      <c r="N400" t="str">
        <f t="shared" si="19"/>
        <v>Arabica</v>
      </c>
      <c r="O400" t="str">
        <f t="shared" si="20"/>
        <v>Dark</v>
      </c>
      <c r="P400" t="str">
        <f>_xlfn.XLOOKUP(Table1[[#This Row],[Customer ID]],customers!$A$1:$A$1001,customers!$I$1:$I$1001,,0)</f>
        <v>Yes</v>
      </c>
    </row>
    <row r="401" spans="1:16" x14ac:dyDescent="0.3">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6">
        <f>INDEX(products!$A$1:$G$49,MATCH(orders!$D401,products!$A$1:$A$49,0),MATCH(orders!K$1,products!$A$1:$G$1,0))</f>
        <v>2.5</v>
      </c>
      <c r="L401" s="5">
        <f>INDEX(products!$A$1:$G$49,MATCH(orders!$D401,products!$A$1:$A$49,0),MATCH(orders!L$1,products!$A$1:$G$1,0))</f>
        <v>27.945</v>
      </c>
      <c r="M401" s="4">
        <f t="shared" si="18"/>
        <v>167.67000000000002</v>
      </c>
      <c r="N401" t="str">
        <f t="shared" si="19"/>
        <v>Excelsa</v>
      </c>
      <c r="O401" t="str">
        <f t="shared" si="20"/>
        <v>Dark</v>
      </c>
      <c r="P401" t="str">
        <f>_xlfn.XLOOKUP(Table1[[#This Row],[Customer ID]],customers!$A$1:$A$1001,customers!$I$1:$I$1001,,0)</f>
        <v>No</v>
      </c>
    </row>
    <row r="402" spans="1:16" x14ac:dyDescent="0.3">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6">
        <f>INDEX(products!$A$1:$G$49,MATCH(orders!$D402,products!$A$1:$A$49,0),MATCH(orders!K$1,products!$A$1:$G$1,0))</f>
        <v>1</v>
      </c>
      <c r="L402" s="5">
        <f>INDEX(products!$A$1:$G$49,MATCH(orders!$D402,products!$A$1:$A$49,0),MATCH(orders!L$1,products!$A$1:$G$1,0))</f>
        <v>15.85</v>
      </c>
      <c r="M402" s="4">
        <f t="shared" si="18"/>
        <v>63.4</v>
      </c>
      <c r="N402" t="str">
        <f t="shared" si="19"/>
        <v>Librica</v>
      </c>
      <c r="O402" t="str">
        <f t="shared" si="20"/>
        <v>Light</v>
      </c>
      <c r="P402" t="str">
        <f>_xlfn.XLOOKUP(Table1[[#This Row],[Customer ID]],customers!$A$1:$A$1001,customers!$I$1:$I$1001,,0)</f>
        <v>No</v>
      </c>
    </row>
    <row r="403" spans="1:16" x14ac:dyDescent="0.3">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6">
        <f>INDEX(products!$A$1:$G$49,MATCH(orders!$D403,products!$A$1:$A$49,0),MATCH(orders!K$1,products!$A$1:$G$1,0))</f>
        <v>0.2</v>
      </c>
      <c r="L403" s="5">
        <f>INDEX(products!$A$1:$G$49,MATCH(orders!$D403,products!$A$1:$A$49,0),MATCH(orders!L$1,products!$A$1:$G$1,0))</f>
        <v>4.3650000000000002</v>
      </c>
      <c r="M403" s="4">
        <f t="shared" si="18"/>
        <v>8.73</v>
      </c>
      <c r="N403" t="str">
        <f t="shared" si="19"/>
        <v>Librica</v>
      </c>
      <c r="O403" t="str">
        <f t="shared" si="20"/>
        <v>Medium</v>
      </c>
      <c r="P403" t="str">
        <f>_xlfn.XLOOKUP(Table1[[#This Row],[Customer ID]],customers!$A$1:$A$1001,customers!$I$1:$I$1001,,0)</f>
        <v>Yes</v>
      </c>
    </row>
    <row r="404" spans="1:16" x14ac:dyDescent="0.3">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6">
        <f>INDEX(products!$A$1:$G$49,MATCH(orders!$D404,products!$A$1:$A$49,0),MATCH(orders!K$1,products!$A$1:$G$1,0))</f>
        <v>1</v>
      </c>
      <c r="L404" s="5">
        <f>INDEX(products!$A$1:$G$49,MATCH(orders!$D404,products!$A$1:$A$49,0),MATCH(orders!L$1,products!$A$1:$G$1,0))</f>
        <v>8.9499999999999993</v>
      </c>
      <c r="M404" s="4">
        <f t="shared" si="18"/>
        <v>26.849999999999998</v>
      </c>
      <c r="N404" t="str">
        <f t="shared" si="19"/>
        <v>Robusta</v>
      </c>
      <c r="O404" t="str">
        <f t="shared" si="20"/>
        <v>Dark</v>
      </c>
      <c r="P404" t="str">
        <f>_xlfn.XLOOKUP(Table1[[#This Row],[Customer ID]],customers!$A$1:$A$1001,customers!$I$1:$I$1001,,0)</f>
        <v>Yes</v>
      </c>
    </row>
    <row r="405" spans="1:16" x14ac:dyDescent="0.3">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6">
        <f>INDEX(products!$A$1:$G$49,MATCH(orders!$D405,products!$A$1:$A$49,0),MATCH(orders!K$1,products!$A$1:$G$1,0))</f>
        <v>0.2</v>
      </c>
      <c r="L405" s="5">
        <f>INDEX(products!$A$1:$G$49,MATCH(orders!$D405,products!$A$1:$A$49,0),MATCH(orders!L$1,products!$A$1:$G$1,0))</f>
        <v>4.7549999999999999</v>
      </c>
      <c r="M405" s="4">
        <f t="shared" si="18"/>
        <v>9.51</v>
      </c>
      <c r="N405" t="str">
        <f t="shared" si="19"/>
        <v>Librica</v>
      </c>
      <c r="O405" t="str">
        <f t="shared" si="20"/>
        <v>Light</v>
      </c>
      <c r="P405" t="str">
        <f>_xlfn.XLOOKUP(Table1[[#This Row],[Customer ID]],customers!$A$1:$A$1001,customers!$I$1:$I$1001,,0)</f>
        <v>No</v>
      </c>
    </row>
    <row r="406" spans="1:16" x14ac:dyDescent="0.3">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6">
        <f>INDEX(products!$A$1:$G$49,MATCH(orders!$D406,products!$A$1:$A$49,0),MATCH(orders!K$1,products!$A$1:$G$1,0))</f>
        <v>1</v>
      </c>
      <c r="L406" s="5">
        <f>INDEX(products!$A$1:$G$49,MATCH(orders!$D406,products!$A$1:$A$49,0),MATCH(orders!L$1,products!$A$1:$G$1,0))</f>
        <v>9.9499999999999993</v>
      </c>
      <c r="M406" s="4">
        <f t="shared" si="18"/>
        <v>39.799999999999997</v>
      </c>
      <c r="N406" t="str">
        <f t="shared" si="19"/>
        <v>Arabica</v>
      </c>
      <c r="O406" t="str">
        <f t="shared" si="20"/>
        <v>Dark</v>
      </c>
      <c r="P406" t="str">
        <f>_xlfn.XLOOKUP(Table1[[#This Row],[Customer ID]],customers!$A$1:$A$1001,customers!$I$1:$I$1001,,0)</f>
        <v>No</v>
      </c>
    </row>
    <row r="407" spans="1:16" x14ac:dyDescent="0.3">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6">
        <f>INDEX(products!$A$1:$G$49,MATCH(orders!$D407,products!$A$1:$A$49,0),MATCH(orders!K$1,products!$A$1:$G$1,0))</f>
        <v>0.5</v>
      </c>
      <c r="L407" s="5">
        <f>INDEX(products!$A$1:$G$49,MATCH(orders!$D407,products!$A$1:$A$49,0),MATCH(orders!L$1,products!$A$1:$G$1,0))</f>
        <v>8.25</v>
      </c>
      <c r="M407" s="4">
        <f t="shared" si="18"/>
        <v>24.75</v>
      </c>
      <c r="N407" t="str">
        <f t="shared" si="19"/>
        <v>Excelsa</v>
      </c>
      <c r="O407" t="str">
        <f t="shared" si="20"/>
        <v>Medium</v>
      </c>
      <c r="P407" t="str">
        <f>_xlfn.XLOOKUP(Table1[[#This Row],[Customer ID]],customers!$A$1:$A$1001,customers!$I$1:$I$1001,,0)</f>
        <v>Yes</v>
      </c>
    </row>
    <row r="408" spans="1:16" x14ac:dyDescent="0.3">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6">
        <f>INDEX(products!$A$1:$G$49,MATCH(orders!$D408,products!$A$1:$A$49,0),MATCH(orders!K$1,products!$A$1:$G$1,0))</f>
        <v>1</v>
      </c>
      <c r="L408" s="5">
        <f>INDEX(products!$A$1:$G$49,MATCH(orders!$D408,products!$A$1:$A$49,0),MATCH(orders!L$1,products!$A$1:$G$1,0))</f>
        <v>13.75</v>
      </c>
      <c r="M408" s="4">
        <f t="shared" si="18"/>
        <v>68.75</v>
      </c>
      <c r="N408" t="str">
        <f t="shared" si="19"/>
        <v>Excelsa</v>
      </c>
      <c r="O408" t="str">
        <f t="shared" si="20"/>
        <v>Medium</v>
      </c>
      <c r="P408" t="str">
        <f>_xlfn.XLOOKUP(Table1[[#This Row],[Customer ID]],customers!$A$1:$A$1001,customers!$I$1:$I$1001,,0)</f>
        <v>Yes</v>
      </c>
    </row>
    <row r="409" spans="1:16" x14ac:dyDescent="0.3">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6">
        <f>INDEX(products!$A$1:$G$49,MATCH(orders!$D409,products!$A$1:$A$49,0),MATCH(orders!K$1,products!$A$1:$G$1,0))</f>
        <v>0.5</v>
      </c>
      <c r="L409" s="5">
        <f>INDEX(products!$A$1:$G$49,MATCH(orders!$D409,products!$A$1:$A$49,0),MATCH(orders!L$1,products!$A$1:$G$1,0))</f>
        <v>8.25</v>
      </c>
      <c r="M409" s="4">
        <f t="shared" si="18"/>
        <v>49.5</v>
      </c>
      <c r="N409" t="str">
        <f t="shared" si="19"/>
        <v>Excelsa</v>
      </c>
      <c r="O409" t="str">
        <f t="shared" si="20"/>
        <v>Medium</v>
      </c>
      <c r="P409" t="str">
        <f>_xlfn.XLOOKUP(Table1[[#This Row],[Customer ID]],customers!$A$1:$A$1001,customers!$I$1:$I$1001,,0)</f>
        <v>No</v>
      </c>
    </row>
    <row r="410" spans="1:16" x14ac:dyDescent="0.3">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6">
        <f>INDEX(products!$A$1:$G$49,MATCH(orders!$D410,products!$A$1:$A$49,0),MATCH(orders!K$1,products!$A$1:$G$1,0))</f>
        <v>2.5</v>
      </c>
      <c r="L410" s="5">
        <f>INDEX(products!$A$1:$G$49,MATCH(orders!$D410,products!$A$1:$A$49,0),MATCH(orders!L$1,products!$A$1:$G$1,0))</f>
        <v>25.874999999999996</v>
      </c>
      <c r="M410" s="4">
        <f t="shared" si="18"/>
        <v>51.749999999999993</v>
      </c>
      <c r="N410" t="str">
        <f t="shared" si="19"/>
        <v>Arabica</v>
      </c>
      <c r="O410" t="str">
        <f t="shared" si="20"/>
        <v>Medium</v>
      </c>
      <c r="P410" t="str">
        <f>_xlfn.XLOOKUP(Table1[[#This Row],[Customer ID]],customers!$A$1:$A$1001,customers!$I$1:$I$1001,,0)</f>
        <v>Yes</v>
      </c>
    </row>
    <row r="411" spans="1:16" x14ac:dyDescent="0.3">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6">
        <f>INDEX(products!$A$1:$G$49,MATCH(orders!$D411,products!$A$1:$A$49,0),MATCH(orders!K$1,products!$A$1:$G$1,0))</f>
        <v>1</v>
      </c>
      <c r="L411" s="5">
        <f>INDEX(products!$A$1:$G$49,MATCH(orders!$D411,products!$A$1:$A$49,0),MATCH(orders!L$1,products!$A$1:$G$1,0))</f>
        <v>15.85</v>
      </c>
      <c r="M411" s="4">
        <f t="shared" si="18"/>
        <v>47.55</v>
      </c>
      <c r="N411" t="str">
        <f t="shared" si="19"/>
        <v>Librica</v>
      </c>
      <c r="O411" t="str">
        <f t="shared" si="20"/>
        <v>Light</v>
      </c>
      <c r="P411" t="str">
        <f>_xlfn.XLOOKUP(Table1[[#This Row],[Customer ID]],customers!$A$1:$A$1001,customers!$I$1:$I$1001,,0)</f>
        <v>Yes</v>
      </c>
    </row>
    <row r="412" spans="1:16" x14ac:dyDescent="0.3">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6">
        <f>INDEX(products!$A$1:$G$49,MATCH(orders!$D412,products!$A$1:$A$49,0),MATCH(orders!K$1,products!$A$1:$G$1,0))</f>
        <v>0.2</v>
      </c>
      <c r="L412" s="5">
        <f>INDEX(products!$A$1:$G$49,MATCH(orders!$D412,products!$A$1:$A$49,0),MATCH(orders!L$1,products!$A$1:$G$1,0))</f>
        <v>3.8849999999999998</v>
      </c>
      <c r="M412" s="4">
        <f t="shared" si="18"/>
        <v>15.54</v>
      </c>
      <c r="N412" t="str">
        <f t="shared" si="19"/>
        <v>Arabica</v>
      </c>
      <c r="O412" t="str">
        <f t="shared" si="20"/>
        <v>Light</v>
      </c>
      <c r="P412" t="str">
        <f>_xlfn.XLOOKUP(Table1[[#This Row],[Customer ID]],customers!$A$1:$A$1001,customers!$I$1:$I$1001,,0)</f>
        <v>No</v>
      </c>
    </row>
    <row r="413" spans="1:16" x14ac:dyDescent="0.3">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6">
        <f>INDEX(products!$A$1:$G$49,MATCH(orders!$D413,products!$A$1:$A$49,0),MATCH(orders!K$1,products!$A$1:$G$1,0))</f>
        <v>1</v>
      </c>
      <c r="L413" s="5">
        <f>INDEX(products!$A$1:$G$49,MATCH(orders!$D413,products!$A$1:$A$49,0),MATCH(orders!L$1,products!$A$1:$G$1,0))</f>
        <v>14.55</v>
      </c>
      <c r="M413" s="4">
        <f t="shared" si="18"/>
        <v>87.300000000000011</v>
      </c>
      <c r="N413" t="str">
        <f t="shared" si="19"/>
        <v>Librica</v>
      </c>
      <c r="O413" t="str">
        <f t="shared" si="20"/>
        <v>Medium</v>
      </c>
      <c r="P413" t="str">
        <f>_xlfn.XLOOKUP(Table1[[#This Row],[Customer ID]],customers!$A$1:$A$1001,customers!$I$1:$I$1001,,0)</f>
        <v>Yes</v>
      </c>
    </row>
    <row r="414" spans="1:16" x14ac:dyDescent="0.3">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6">
        <f>INDEX(products!$A$1:$G$49,MATCH(orders!$D414,products!$A$1:$A$49,0),MATCH(orders!K$1,products!$A$1:$G$1,0))</f>
        <v>1</v>
      </c>
      <c r="L414" s="5">
        <f>INDEX(products!$A$1:$G$49,MATCH(orders!$D414,products!$A$1:$A$49,0),MATCH(orders!L$1,products!$A$1:$G$1,0))</f>
        <v>11.25</v>
      </c>
      <c r="M414" s="4">
        <f t="shared" si="18"/>
        <v>56.25</v>
      </c>
      <c r="N414" t="str">
        <f t="shared" si="19"/>
        <v>Arabica</v>
      </c>
      <c r="O414" t="str">
        <f t="shared" si="20"/>
        <v>Medium</v>
      </c>
      <c r="P414" t="str">
        <f>_xlfn.XLOOKUP(Table1[[#This Row],[Customer ID]],customers!$A$1:$A$1001,customers!$I$1:$I$1001,,0)</f>
        <v>Yes</v>
      </c>
    </row>
    <row r="415" spans="1:16" x14ac:dyDescent="0.3">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6">
        <f>INDEX(products!$A$1:$G$49,MATCH(orders!$D415,products!$A$1:$A$49,0),MATCH(orders!K$1,products!$A$1:$G$1,0))</f>
        <v>2.5</v>
      </c>
      <c r="L415" s="5">
        <f>INDEX(products!$A$1:$G$49,MATCH(orders!$D415,products!$A$1:$A$49,0),MATCH(orders!L$1,products!$A$1:$G$1,0))</f>
        <v>36.454999999999998</v>
      </c>
      <c r="M415" s="4">
        <f t="shared" si="18"/>
        <v>36.454999999999998</v>
      </c>
      <c r="N415" t="str">
        <f t="shared" si="19"/>
        <v>Librica</v>
      </c>
      <c r="O415" t="str">
        <f t="shared" si="20"/>
        <v>Light</v>
      </c>
      <c r="P415" t="str">
        <f>_xlfn.XLOOKUP(Table1[[#This Row],[Customer ID]],customers!$A$1:$A$1001,customers!$I$1:$I$1001,,0)</f>
        <v>Yes</v>
      </c>
    </row>
    <row r="416" spans="1:16" x14ac:dyDescent="0.3">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6">
        <f>INDEX(products!$A$1:$G$49,MATCH(orders!$D416,products!$A$1:$A$49,0),MATCH(orders!K$1,products!$A$1:$G$1,0))</f>
        <v>0.2</v>
      </c>
      <c r="L416" s="5">
        <f>INDEX(products!$A$1:$G$49,MATCH(orders!$D416,products!$A$1:$A$49,0),MATCH(orders!L$1,products!$A$1:$G$1,0))</f>
        <v>3.5849999999999995</v>
      </c>
      <c r="M416" s="4">
        <f t="shared" si="18"/>
        <v>10.754999999999999</v>
      </c>
      <c r="N416" t="str">
        <f t="shared" si="19"/>
        <v>Robusta</v>
      </c>
      <c r="O416" t="str">
        <f t="shared" si="20"/>
        <v>Light</v>
      </c>
      <c r="P416" t="str">
        <f>_xlfn.XLOOKUP(Table1[[#This Row],[Customer ID]],customers!$A$1:$A$1001,customers!$I$1:$I$1001,,0)</f>
        <v>Yes</v>
      </c>
    </row>
    <row r="417" spans="1:16" x14ac:dyDescent="0.3">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6">
        <f>INDEX(products!$A$1:$G$49,MATCH(orders!$D417,products!$A$1:$A$49,0),MATCH(orders!K$1,products!$A$1:$G$1,0))</f>
        <v>0.2</v>
      </c>
      <c r="L417" s="5">
        <f>INDEX(products!$A$1:$G$49,MATCH(orders!$D417,products!$A$1:$A$49,0),MATCH(orders!L$1,products!$A$1:$G$1,0))</f>
        <v>2.9849999999999999</v>
      </c>
      <c r="M417" s="4">
        <f t="shared" si="18"/>
        <v>8.9550000000000001</v>
      </c>
      <c r="N417" t="str">
        <f t="shared" si="19"/>
        <v>Robusta</v>
      </c>
      <c r="O417" t="str">
        <f t="shared" si="20"/>
        <v>Medium</v>
      </c>
      <c r="P417" t="str">
        <f>_xlfn.XLOOKUP(Table1[[#This Row],[Customer ID]],customers!$A$1:$A$1001,customers!$I$1:$I$1001,,0)</f>
        <v>No</v>
      </c>
    </row>
    <row r="418" spans="1:16" x14ac:dyDescent="0.3">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6">
        <f>INDEX(products!$A$1:$G$49,MATCH(orders!$D418,products!$A$1:$A$49,0),MATCH(orders!K$1,products!$A$1:$G$1,0))</f>
        <v>0.5</v>
      </c>
      <c r="L418" s="5">
        <f>INDEX(products!$A$1:$G$49,MATCH(orders!$D418,products!$A$1:$A$49,0),MATCH(orders!L$1,products!$A$1:$G$1,0))</f>
        <v>7.77</v>
      </c>
      <c r="M418" s="4">
        <f t="shared" si="18"/>
        <v>23.31</v>
      </c>
      <c r="N418" t="str">
        <f t="shared" si="19"/>
        <v>Arabica</v>
      </c>
      <c r="O418" t="str">
        <f t="shared" si="20"/>
        <v>Light</v>
      </c>
      <c r="P418" t="str">
        <f>_xlfn.XLOOKUP(Table1[[#This Row],[Customer ID]],customers!$A$1:$A$1001,customers!$I$1:$I$1001,,0)</f>
        <v>Yes</v>
      </c>
    </row>
    <row r="419" spans="1:16" x14ac:dyDescent="0.3">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6">
        <f>INDEX(products!$A$1:$G$49,MATCH(orders!$D419,products!$A$1:$A$49,0),MATCH(orders!K$1,products!$A$1:$G$1,0))</f>
        <v>2.5</v>
      </c>
      <c r="L419" s="5">
        <f>INDEX(products!$A$1:$G$49,MATCH(orders!$D419,products!$A$1:$A$49,0),MATCH(orders!L$1,products!$A$1:$G$1,0))</f>
        <v>29.784999999999997</v>
      </c>
      <c r="M419" s="4">
        <f t="shared" si="18"/>
        <v>29.784999999999997</v>
      </c>
      <c r="N419" t="str">
        <f t="shared" si="19"/>
        <v>Arabica</v>
      </c>
      <c r="O419" t="str">
        <f t="shared" si="20"/>
        <v>Light</v>
      </c>
      <c r="P419" t="str">
        <f>_xlfn.XLOOKUP(Table1[[#This Row],[Customer ID]],customers!$A$1:$A$1001,customers!$I$1:$I$1001,,0)</f>
        <v>Yes</v>
      </c>
    </row>
    <row r="420" spans="1:16" x14ac:dyDescent="0.3">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6">
        <f>INDEX(products!$A$1:$G$49,MATCH(orders!$D420,products!$A$1:$A$49,0),MATCH(orders!K$1,products!$A$1:$G$1,0))</f>
        <v>2.5</v>
      </c>
      <c r="L420" s="5">
        <f>INDEX(products!$A$1:$G$49,MATCH(orders!$D420,products!$A$1:$A$49,0),MATCH(orders!L$1,products!$A$1:$G$1,0))</f>
        <v>29.784999999999997</v>
      </c>
      <c r="M420" s="4">
        <f t="shared" si="18"/>
        <v>148.92499999999998</v>
      </c>
      <c r="N420" t="str">
        <f t="shared" si="19"/>
        <v>Arabica</v>
      </c>
      <c r="O420" t="str">
        <f t="shared" si="20"/>
        <v>Light</v>
      </c>
      <c r="P420" t="str">
        <f>_xlfn.XLOOKUP(Table1[[#This Row],[Customer ID]],customers!$A$1:$A$1001,customers!$I$1:$I$1001,,0)</f>
        <v>Yes</v>
      </c>
    </row>
    <row r="421" spans="1:16" x14ac:dyDescent="0.3">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6">
        <f>INDEX(products!$A$1:$G$49,MATCH(orders!$D421,products!$A$1:$A$49,0),MATCH(orders!K$1,products!$A$1:$G$1,0))</f>
        <v>0.5</v>
      </c>
      <c r="L421" s="5">
        <f>INDEX(products!$A$1:$G$49,MATCH(orders!$D421,products!$A$1:$A$49,0),MATCH(orders!L$1,products!$A$1:$G$1,0))</f>
        <v>8.73</v>
      </c>
      <c r="M421" s="4">
        <f t="shared" si="18"/>
        <v>8.73</v>
      </c>
      <c r="N421" t="str">
        <f t="shared" si="19"/>
        <v>Librica</v>
      </c>
      <c r="O421" t="str">
        <f t="shared" si="20"/>
        <v>Medium</v>
      </c>
      <c r="P421" t="str">
        <f>_xlfn.XLOOKUP(Table1[[#This Row],[Customer ID]],customers!$A$1:$A$1001,customers!$I$1:$I$1001,,0)</f>
        <v>Yes</v>
      </c>
    </row>
    <row r="422" spans="1:16" x14ac:dyDescent="0.3">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6">
        <f>INDEX(products!$A$1:$G$49,MATCH(orders!$D422,products!$A$1:$A$49,0),MATCH(orders!K$1,products!$A$1:$G$1,0))</f>
        <v>0.5</v>
      </c>
      <c r="L422" s="5">
        <f>INDEX(products!$A$1:$G$49,MATCH(orders!$D422,products!$A$1:$A$49,0),MATCH(orders!L$1,products!$A$1:$G$1,0))</f>
        <v>7.77</v>
      </c>
      <c r="M422" s="4">
        <f t="shared" si="18"/>
        <v>31.08</v>
      </c>
      <c r="N422" t="str">
        <f t="shared" si="19"/>
        <v>Librica</v>
      </c>
      <c r="O422" t="str">
        <f t="shared" si="20"/>
        <v>Dark</v>
      </c>
      <c r="P422" t="str">
        <f>_xlfn.XLOOKUP(Table1[[#This Row],[Customer ID]],customers!$A$1:$A$1001,customers!$I$1:$I$1001,,0)</f>
        <v>No</v>
      </c>
    </row>
    <row r="423" spans="1:16" x14ac:dyDescent="0.3">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6">
        <f>INDEX(products!$A$1:$G$49,MATCH(orders!$D423,products!$A$1:$A$49,0),MATCH(orders!K$1,products!$A$1:$G$1,0))</f>
        <v>2.5</v>
      </c>
      <c r="L423" s="5">
        <f>INDEX(products!$A$1:$G$49,MATCH(orders!$D423,products!$A$1:$A$49,0),MATCH(orders!L$1,products!$A$1:$G$1,0))</f>
        <v>22.884999999999998</v>
      </c>
      <c r="M423" s="4">
        <f t="shared" si="18"/>
        <v>137.31</v>
      </c>
      <c r="N423" t="str">
        <f t="shared" si="19"/>
        <v>Arabica</v>
      </c>
      <c r="O423" t="str">
        <f t="shared" si="20"/>
        <v>Dark</v>
      </c>
      <c r="P423" t="str">
        <f>_xlfn.XLOOKUP(Table1[[#This Row],[Customer ID]],customers!$A$1:$A$1001,customers!$I$1:$I$1001,,0)</f>
        <v>No</v>
      </c>
    </row>
    <row r="424" spans="1:16" x14ac:dyDescent="0.3">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6">
        <f>INDEX(products!$A$1:$G$49,MATCH(orders!$D424,products!$A$1:$A$49,0),MATCH(orders!K$1,products!$A$1:$G$1,0))</f>
        <v>0.5</v>
      </c>
      <c r="L424" s="5">
        <f>INDEX(products!$A$1:$G$49,MATCH(orders!$D424,products!$A$1:$A$49,0),MATCH(orders!L$1,products!$A$1:$G$1,0))</f>
        <v>5.97</v>
      </c>
      <c r="M424" s="4">
        <f t="shared" si="18"/>
        <v>29.849999999999998</v>
      </c>
      <c r="N424" t="str">
        <f t="shared" si="19"/>
        <v>Arabica</v>
      </c>
      <c r="O424" t="str">
        <f t="shared" si="20"/>
        <v>Dark</v>
      </c>
      <c r="P424" t="str">
        <f>_xlfn.XLOOKUP(Table1[[#This Row],[Customer ID]],customers!$A$1:$A$1001,customers!$I$1:$I$1001,,0)</f>
        <v>No</v>
      </c>
    </row>
    <row r="425" spans="1:16" x14ac:dyDescent="0.3">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6">
        <f>INDEX(products!$A$1:$G$49,MATCH(orders!$D425,products!$A$1:$A$49,0),MATCH(orders!K$1,products!$A$1:$G$1,0))</f>
        <v>0.5</v>
      </c>
      <c r="L425" s="5">
        <f>INDEX(products!$A$1:$G$49,MATCH(orders!$D425,products!$A$1:$A$49,0),MATCH(orders!L$1,products!$A$1:$G$1,0))</f>
        <v>5.97</v>
      </c>
      <c r="M425" s="4">
        <f t="shared" si="18"/>
        <v>17.91</v>
      </c>
      <c r="N425" t="str">
        <f t="shared" si="19"/>
        <v>Robusta</v>
      </c>
      <c r="O425" t="str">
        <f t="shared" si="20"/>
        <v>Medium</v>
      </c>
      <c r="P425" t="str">
        <f>_xlfn.XLOOKUP(Table1[[#This Row],[Customer ID]],customers!$A$1:$A$1001,customers!$I$1:$I$1001,,0)</f>
        <v>No</v>
      </c>
    </row>
    <row r="426" spans="1:16" x14ac:dyDescent="0.3">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6">
        <f>INDEX(products!$A$1:$G$49,MATCH(orders!$D426,products!$A$1:$A$49,0),MATCH(orders!K$1,products!$A$1:$G$1,0))</f>
        <v>0.5</v>
      </c>
      <c r="L426" s="5">
        <f>INDEX(products!$A$1:$G$49,MATCH(orders!$D426,products!$A$1:$A$49,0),MATCH(orders!L$1,products!$A$1:$G$1,0))</f>
        <v>8.91</v>
      </c>
      <c r="M426" s="4">
        <f t="shared" si="18"/>
        <v>26.73</v>
      </c>
      <c r="N426" t="str">
        <f t="shared" si="19"/>
        <v>Excelsa</v>
      </c>
      <c r="O426" t="str">
        <f t="shared" si="20"/>
        <v>Light</v>
      </c>
      <c r="P426" t="str">
        <f>_xlfn.XLOOKUP(Table1[[#This Row],[Customer ID]],customers!$A$1:$A$1001,customers!$I$1:$I$1001,,0)</f>
        <v>Yes</v>
      </c>
    </row>
    <row r="427" spans="1:16" x14ac:dyDescent="0.3">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6">
        <f>INDEX(products!$A$1:$G$49,MATCH(orders!$D427,products!$A$1:$A$49,0),MATCH(orders!K$1,products!$A$1:$G$1,0))</f>
        <v>1</v>
      </c>
      <c r="L427" s="5">
        <f>INDEX(products!$A$1:$G$49,MATCH(orders!$D427,products!$A$1:$A$49,0),MATCH(orders!L$1,products!$A$1:$G$1,0))</f>
        <v>8.9499999999999993</v>
      </c>
      <c r="M427" s="4">
        <f t="shared" si="18"/>
        <v>17.899999999999999</v>
      </c>
      <c r="N427" t="str">
        <f t="shared" si="19"/>
        <v>Robusta</v>
      </c>
      <c r="O427" t="str">
        <f t="shared" si="20"/>
        <v>Dark</v>
      </c>
      <c r="P427" t="str">
        <f>_xlfn.XLOOKUP(Table1[[#This Row],[Customer ID]],customers!$A$1:$A$1001,customers!$I$1:$I$1001,,0)</f>
        <v>No</v>
      </c>
    </row>
    <row r="428" spans="1:16" x14ac:dyDescent="0.3">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6">
        <f>INDEX(products!$A$1:$G$49,MATCH(orders!$D428,products!$A$1:$A$49,0),MATCH(orders!K$1,products!$A$1:$G$1,0))</f>
        <v>0.2</v>
      </c>
      <c r="L428" s="5">
        <f>INDEX(products!$A$1:$G$49,MATCH(orders!$D428,products!$A$1:$A$49,0),MATCH(orders!L$1,products!$A$1:$G$1,0))</f>
        <v>3.5849999999999995</v>
      </c>
      <c r="M428" s="4">
        <f t="shared" si="18"/>
        <v>14.339999999999998</v>
      </c>
      <c r="N428" t="str">
        <f t="shared" si="19"/>
        <v>Robusta</v>
      </c>
      <c r="O428" t="str">
        <f t="shared" si="20"/>
        <v>Light</v>
      </c>
      <c r="P428" t="str">
        <f>_xlfn.XLOOKUP(Table1[[#This Row],[Customer ID]],customers!$A$1:$A$1001,customers!$I$1:$I$1001,,0)</f>
        <v>Yes</v>
      </c>
    </row>
    <row r="429" spans="1:16" x14ac:dyDescent="0.3">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6">
        <f>INDEX(products!$A$1:$G$49,MATCH(orders!$D429,products!$A$1:$A$49,0),MATCH(orders!K$1,products!$A$1:$G$1,0))</f>
        <v>2.5</v>
      </c>
      <c r="L429" s="5">
        <f>INDEX(products!$A$1:$G$49,MATCH(orders!$D429,products!$A$1:$A$49,0),MATCH(orders!L$1,products!$A$1:$G$1,0))</f>
        <v>25.874999999999996</v>
      </c>
      <c r="M429" s="4">
        <f t="shared" si="18"/>
        <v>77.624999999999986</v>
      </c>
      <c r="N429" t="str">
        <f t="shared" si="19"/>
        <v>Arabica</v>
      </c>
      <c r="O429" t="str">
        <f t="shared" si="20"/>
        <v>Medium</v>
      </c>
      <c r="P429" t="str">
        <f>_xlfn.XLOOKUP(Table1[[#This Row],[Customer ID]],customers!$A$1:$A$1001,customers!$I$1:$I$1001,,0)</f>
        <v>Yes</v>
      </c>
    </row>
    <row r="430" spans="1:16" x14ac:dyDescent="0.3">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6">
        <f>INDEX(products!$A$1:$G$49,MATCH(orders!$D430,products!$A$1:$A$49,0),MATCH(orders!K$1,products!$A$1:$G$1,0))</f>
        <v>1</v>
      </c>
      <c r="L430" s="5">
        <f>INDEX(products!$A$1:$G$49,MATCH(orders!$D430,products!$A$1:$A$49,0),MATCH(orders!L$1,products!$A$1:$G$1,0))</f>
        <v>11.95</v>
      </c>
      <c r="M430" s="4">
        <f t="shared" si="18"/>
        <v>59.75</v>
      </c>
      <c r="N430" t="str">
        <f t="shared" si="19"/>
        <v>Robusta</v>
      </c>
      <c r="O430" t="str">
        <f t="shared" si="20"/>
        <v>Light</v>
      </c>
      <c r="P430" t="str">
        <f>_xlfn.XLOOKUP(Table1[[#This Row],[Customer ID]],customers!$A$1:$A$1001,customers!$I$1:$I$1001,,0)</f>
        <v>No</v>
      </c>
    </row>
    <row r="431" spans="1:16" x14ac:dyDescent="0.3">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6">
        <f>INDEX(products!$A$1:$G$49,MATCH(orders!$D431,products!$A$1:$A$49,0),MATCH(orders!K$1,products!$A$1:$G$1,0))</f>
        <v>1</v>
      </c>
      <c r="L431" s="5">
        <f>INDEX(products!$A$1:$G$49,MATCH(orders!$D431,products!$A$1:$A$49,0),MATCH(orders!L$1,products!$A$1:$G$1,0))</f>
        <v>12.95</v>
      </c>
      <c r="M431" s="4">
        <f t="shared" si="18"/>
        <v>77.699999999999989</v>
      </c>
      <c r="N431" t="str">
        <f t="shared" si="19"/>
        <v>Arabica</v>
      </c>
      <c r="O431" t="str">
        <f t="shared" si="20"/>
        <v>Light</v>
      </c>
      <c r="P431" t="str">
        <f>_xlfn.XLOOKUP(Table1[[#This Row],[Customer ID]],customers!$A$1:$A$1001,customers!$I$1:$I$1001,,0)</f>
        <v>No</v>
      </c>
    </row>
    <row r="432" spans="1:16" x14ac:dyDescent="0.3">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6">
        <f>INDEX(products!$A$1:$G$49,MATCH(orders!$D432,products!$A$1:$A$49,0),MATCH(orders!K$1,products!$A$1:$G$1,0))</f>
        <v>0.2</v>
      </c>
      <c r="L432" s="5">
        <f>INDEX(products!$A$1:$G$49,MATCH(orders!$D432,products!$A$1:$A$49,0),MATCH(orders!L$1,products!$A$1:$G$1,0))</f>
        <v>2.6849999999999996</v>
      </c>
      <c r="M432" s="4">
        <f t="shared" si="18"/>
        <v>5.3699999999999992</v>
      </c>
      <c r="N432" t="str">
        <f t="shared" si="19"/>
        <v>Robusta</v>
      </c>
      <c r="O432" t="str">
        <f t="shared" si="20"/>
        <v>Dark</v>
      </c>
      <c r="P432" t="str">
        <f>_xlfn.XLOOKUP(Table1[[#This Row],[Customer ID]],customers!$A$1:$A$1001,customers!$I$1:$I$1001,,0)</f>
        <v>Yes</v>
      </c>
    </row>
    <row r="433" spans="1:16" x14ac:dyDescent="0.3">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6">
        <f>INDEX(products!$A$1:$G$49,MATCH(orders!$D433,products!$A$1:$A$49,0),MATCH(orders!K$1,products!$A$1:$G$1,0))</f>
        <v>2.5</v>
      </c>
      <c r="L433" s="5">
        <f>INDEX(products!$A$1:$G$49,MATCH(orders!$D433,products!$A$1:$A$49,0),MATCH(orders!L$1,products!$A$1:$G$1,0))</f>
        <v>27.945</v>
      </c>
      <c r="M433" s="4">
        <f t="shared" si="18"/>
        <v>83.835000000000008</v>
      </c>
      <c r="N433" t="str">
        <f t="shared" si="19"/>
        <v>Excelsa</v>
      </c>
      <c r="O433" t="str">
        <f t="shared" si="20"/>
        <v>Dark</v>
      </c>
      <c r="P433" t="str">
        <f>_xlfn.XLOOKUP(Table1[[#This Row],[Customer ID]],customers!$A$1:$A$1001,customers!$I$1:$I$1001,,0)</f>
        <v>Yes</v>
      </c>
    </row>
    <row r="434" spans="1:16" x14ac:dyDescent="0.3">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6">
        <f>INDEX(products!$A$1:$G$49,MATCH(orders!$D434,products!$A$1:$A$49,0),MATCH(orders!K$1,products!$A$1:$G$1,0))</f>
        <v>1</v>
      </c>
      <c r="L434" s="5">
        <f>INDEX(products!$A$1:$G$49,MATCH(orders!$D434,products!$A$1:$A$49,0),MATCH(orders!L$1,products!$A$1:$G$1,0))</f>
        <v>11.25</v>
      </c>
      <c r="M434" s="4">
        <f t="shared" si="18"/>
        <v>22.5</v>
      </c>
      <c r="N434" t="str">
        <f t="shared" si="19"/>
        <v>Arabica</v>
      </c>
      <c r="O434" t="str">
        <f t="shared" si="20"/>
        <v>Medium</v>
      </c>
      <c r="P434" t="str">
        <f>_xlfn.XLOOKUP(Table1[[#This Row],[Customer ID]],customers!$A$1:$A$1001,customers!$I$1:$I$1001,,0)</f>
        <v>No</v>
      </c>
    </row>
    <row r="435" spans="1:16" x14ac:dyDescent="0.3">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6">
        <f>INDEX(products!$A$1:$G$49,MATCH(orders!$D435,products!$A$1:$A$49,0),MATCH(orders!K$1,products!$A$1:$G$1,0))</f>
        <v>2.5</v>
      </c>
      <c r="L435" s="5">
        <f>INDEX(products!$A$1:$G$49,MATCH(orders!$D435,products!$A$1:$A$49,0),MATCH(orders!L$1,products!$A$1:$G$1,0))</f>
        <v>33.464999999999996</v>
      </c>
      <c r="M435" s="4">
        <f t="shared" si="18"/>
        <v>200.78999999999996</v>
      </c>
      <c r="N435" t="str">
        <f t="shared" si="19"/>
        <v>Librica</v>
      </c>
      <c r="O435" t="str">
        <f t="shared" si="20"/>
        <v>Medium</v>
      </c>
      <c r="P435" t="str">
        <f>_xlfn.XLOOKUP(Table1[[#This Row],[Customer ID]],customers!$A$1:$A$1001,customers!$I$1:$I$1001,,0)</f>
        <v>Yes</v>
      </c>
    </row>
    <row r="436" spans="1:16" x14ac:dyDescent="0.3">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6">
        <f>INDEX(products!$A$1:$G$49,MATCH(orders!$D436,products!$A$1:$A$49,0),MATCH(orders!K$1,products!$A$1:$G$1,0))</f>
        <v>1</v>
      </c>
      <c r="L436" s="5">
        <f>INDEX(products!$A$1:$G$49,MATCH(orders!$D436,products!$A$1:$A$49,0),MATCH(orders!L$1,products!$A$1:$G$1,0))</f>
        <v>11.25</v>
      </c>
      <c r="M436" s="4">
        <f t="shared" si="18"/>
        <v>67.5</v>
      </c>
      <c r="N436" t="str">
        <f t="shared" si="19"/>
        <v>Arabica</v>
      </c>
      <c r="O436" t="str">
        <f t="shared" si="20"/>
        <v>Medium</v>
      </c>
      <c r="P436" t="str">
        <f>_xlfn.XLOOKUP(Table1[[#This Row],[Customer ID]],customers!$A$1:$A$1001,customers!$I$1:$I$1001,,0)</f>
        <v>No</v>
      </c>
    </row>
    <row r="437" spans="1:16" x14ac:dyDescent="0.3">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6">
        <f>INDEX(products!$A$1:$G$49,MATCH(orders!$D437,products!$A$1:$A$49,0),MATCH(orders!K$1,products!$A$1:$G$1,0))</f>
        <v>0.5</v>
      </c>
      <c r="L437" s="5">
        <f>INDEX(products!$A$1:$G$49,MATCH(orders!$D437,products!$A$1:$A$49,0),MATCH(orders!L$1,products!$A$1:$G$1,0))</f>
        <v>8.25</v>
      </c>
      <c r="M437" s="4">
        <f t="shared" si="18"/>
        <v>8.25</v>
      </c>
      <c r="N437" t="str">
        <f t="shared" si="19"/>
        <v>Excelsa</v>
      </c>
      <c r="O437" t="str">
        <f t="shared" si="20"/>
        <v>Medium</v>
      </c>
      <c r="P437" t="str">
        <f>_xlfn.XLOOKUP(Table1[[#This Row],[Customer ID]],customers!$A$1:$A$1001,customers!$I$1:$I$1001,,0)</f>
        <v>No</v>
      </c>
    </row>
    <row r="438" spans="1:16" x14ac:dyDescent="0.3">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6">
        <f>INDEX(products!$A$1:$G$49,MATCH(orders!$D438,products!$A$1:$A$49,0),MATCH(orders!K$1,products!$A$1:$G$1,0))</f>
        <v>0.2</v>
      </c>
      <c r="L438" s="5">
        <f>INDEX(products!$A$1:$G$49,MATCH(orders!$D438,products!$A$1:$A$49,0),MATCH(orders!L$1,products!$A$1:$G$1,0))</f>
        <v>4.7549999999999999</v>
      </c>
      <c r="M438" s="4">
        <f t="shared" si="18"/>
        <v>9.51</v>
      </c>
      <c r="N438" t="str">
        <f t="shared" si="19"/>
        <v>Librica</v>
      </c>
      <c r="O438" t="str">
        <f t="shared" si="20"/>
        <v>Light</v>
      </c>
      <c r="P438" t="str">
        <f>_xlfn.XLOOKUP(Table1[[#This Row],[Customer ID]],customers!$A$1:$A$1001,customers!$I$1:$I$1001,,0)</f>
        <v>Yes</v>
      </c>
    </row>
    <row r="439" spans="1:16" x14ac:dyDescent="0.3">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6">
        <f>INDEX(products!$A$1:$G$49,MATCH(orders!$D439,products!$A$1:$A$49,0),MATCH(orders!K$1,products!$A$1:$G$1,0))</f>
        <v>2.5</v>
      </c>
      <c r="L439" s="5">
        <f>INDEX(products!$A$1:$G$49,MATCH(orders!$D439,products!$A$1:$A$49,0),MATCH(orders!L$1,products!$A$1:$G$1,0))</f>
        <v>29.784999999999997</v>
      </c>
      <c r="M439" s="4">
        <f t="shared" si="18"/>
        <v>29.784999999999997</v>
      </c>
      <c r="N439" t="str">
        <f t="shared" si="19"/>
        <v>Librica</v>
      </c>
      <c r="O439" t="str">
        <f t="shared" si="20"/>
        <v>Dark</v>
      </c>
      <c r="P439" t="str">
        <f>_xlfn.XLOOKUP(Table1[[#This Row],[Customer ID]],customers!$A$1:$A$1001,customers!$I$1:$I$1001,,0)</f>
        <v>No</v>
      </c>
    </row>
    <row r="440" spans="1:16" x14ac:dyDescent="0.3">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6">
        <f>INDEX(products!$A$1:$G$49,MATCH(orders!$D440,products!$A$1:$A$49,0),MATCH(orders!K$1,products!$A$1:$G$1,0))</f>
        <v>0.5</v>
      </c>
      <c r="L440" s="5">
        <f>INDEX(products!$A$1:$G$49,MATCH(orders!$D440,products!$A$1:$A$49,0),MATCH(orders!L$1,products!$A$1:$G$1,0))</f>
        <v>7.77</v>
      </c>
      <c r="M440" s="4">
        <f t="shared" si="18"/>
        <v>15.54</v>
      </c>
      <c r="N440" t="str">
        <f t="shared" si="19"/>
        <v>Librica</v>
      </c>
      <c r="O440" t="str">
        <f t="shared" si="20"/>
        <v>Dark</v>
      </c>
      <c r="P440" t="str">
        <f>_xlfn.XLOOKUP(Table1[[#This Row],[Customer ID]],customers!$A$1:$A$1001,customers!$I$1:$I$1001,,0)</f>
        <v>No</v>
      </c>
    </row>
    <row r="441" spans="1:16" x14ac:dyDescent="0.3">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6">
        <f>INDEX(products!$A$1:$G$49,MATCH(orders!$D441,products!$A$1:$A$49,0),MATCH(orders!K$1,products!$A$1:$G$1,0))</f>
        <v>0.5</v>
      </c>
      <c r="L441" s="5">
        <f>INDEX(products!$A$1:$G$49,MATCH(orders!$D441,products!$A$1:$A$49,0),MATCH(orders!L$1,products!$A$1:$G$1,0))</f>
        <v>8.91</v>
      </c>
      <c r="M441" s="4">
        <f t="shared" si="18"/>
        <v>35.64</v>
      </c>
      <c r="N441" t="str">
        <f t="shared" si="19"/>
        <v>Excelsa</v>
      </c>
      <c r="O441" t="str">
        <f t="shared" si="20"/>
        <v>Light</v>
      </c>
      <c r="P441" t="str">
        <f>_xlfn.XLOOKUP(Table1[[#This Row],[Customer ID]],customers!$A$1:$A$1001,customers!$I$1:$I$1001,,0)</f>
        <v>No</v>
      </c>
    </row>
    <row r="442" spans="1:16" x14ac:dyDescent="0.3">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6">
        <f>INDEX(products!$A$1:$G$49,MATCH(orders!$D442,products!$A$1:$A$49,0),MATCH(orders!K$1,products!$A$1:$G$1,0))</f>
        <v>2.5</v>
      </c>
      <c r="L442" s="5">
        <f>INDEX(products!$A$1:$G$49,MATCH(orders!$D442,products!$A$1:$A$49,0),MATCH(orders!L$1,products!$A$1:$G$1,0))</f>
        <v>25.874999999999996</v>
      </c>
      <c r="M442" s="4">
        <f t="shared" si="18"/>
        <v>103.49999999999999</v>
      </c>
      <c r="N442" t="str">
        <f t="shared" si="19"/>
        <v>Arabica</v>
      </c>
      <c r="O442" t="str">
        <f t="shared" si="20"/>
        <v>Medium</v>
      </c>
      <c r="P442" t="str">
        <f>_xlfn.XLOOKUP(Table1[[#This Row],[Customer ID]],customers!$A$1:$A$1001,customers!$I$1:$I$1001,,0)</f>
        <v>Yes</v>
      </c>
    </row>
    <row r="443" spans="1:16" x14ac:dyDescent="0.3">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6">
        <f>INDEX(products!$A$1:$G$49,MATCH(orders!$D443,products!$A$1:$A$49,0),MATCH(orders!K$1,products!$A$1:$G$1,0))</f>
        <v>1</v>
      </c>
      <c r="L443" s="5">
        <f>INDEX(products!$A$1:$G$49,MATCH(orders!$D443,products!$A$1:$A$49,0),MATCH(orders!L$1,products!$A$1:$G$1,0))</f>
        <v>12.15</v>
      </c>
      <c r="M443" s="4">
        <f t="shared" si="18"/>
        <v>36.450000000000003</v>
      </c>
      <c r="N443" t="str">
        <f t="shared" si="19"/>
        <v>Excelsa</v>
      </c>
      <c r="O443" t="str">
        <f t="shared" si="20"/>
        <v>Dark</v>
      </c>
      <c r="P443" t="str">
        <f>_xlfn.XLOOKUP(Table1[[#This Row],[Customer ID]],customers!$A$1:$A$1001,customers!$I$1:$I$1001,,0)</f>
        <v>Yes</v>
      </c>
    </row>
    <row r="444" spans="1:16" x14ac:dyDescent="0.3">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6">
        <f>INDEX(products!$A$1:$G$49,MATCH(orders!$D444,products!$A$1:$A$49,0),MATCH(orders!K$1,products!$A$1:$G$1,0))</f>
        <v>0.5</v>
      </c>
      <c r="L444" s="5">
        <f>INDEX(products!$A$1:$G$49,MATCH(orders!$D444,products!$A$1:$A$49,0),MATCH(orders!L$1,products!$A$1:$G$1,0))</f>
        <v>7.169999999999999</v>
      </c>
      <c r="M444" s="4">
        <f t="shared" si="18"/>
        <v>35.849999999999994</v>
      </c>
      <c r="N444" t="str">
        <f t="shared" si="19"/>
        <v>Robusta</v>
      </c>
      <c r="O444" t="str">
        <f t="shared" si="20"/>
        <v>Light</v>
      </c>
      <c r="P444" t="str">
        <f>_xlfn.XLOOKUP(Table1[[#This Row],[Customer ID]],customers!$A$1:$A$1001,customers!$I$1:$I$1001,,0)</f>
        <v>No</v>
      </c>
    </row>
    <row r="445" spans="1:16" x14ac:dyDescent="0.3">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6">
        <f>INDEX(products!$A$1:$G$49,MATCH(orders!$D445,products!$A$1:$A$49,0),MATCH(orders!K$1,products!$A$1:$G$1,0))</f>
        <v>0.2</v>
      </c>
      <c r="L445" s="5">
        <f>INDEX(products!$A$1:$G$49,MATCH(orders!$D445,products!$A$1:$A$49,0),MATCH(orders!L$1,products!$A$1:$G$1,0))</f>
        <v>4.4550000000000001</v>
      </c>
      <c r="M445" s="4">
        <f t="shared" si="18"/>
        <v>22.274999999999999</v>
      </c>
      <c r="N445" t="str">
        <f t="shared" si="19"/>
        <v>Excelsa</v>
      </c>
      <c r="O445" t="str">
        <f t="shared" si="20"/>
        <v>Light</v>
      </c>
      <c r="P445" t="str">
        <f>_xlfn.XLOOKUP(Table1[[#This Row],[Customer ID]],customers!$A$1:$A$1001,customers!$I$1:$I$1001,,0)</f>
        <v>Yes</v>
      </c>
    </row>
    <row r="446" spans="1:16" x14ac:dyDescent="0.3">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6">
        <f>INDEX(products!$A$1:$G$49,MATCH(orders!$D446,products!$A$1:$A$49,0),MATCH(orders!K$1,products!$A$1:$G$1,0))</f>
        <v>0.2</v>
      </c>
      <c r="L446" s="5">
        <f>INDEX(products!$A$1:$G$49,MATCH(orders!$D446,products!$A$1:$A$49,0),MATCH(orders!L$1,products!$A$1:$G$1,0))</f>
        <v>4.125</v>
      </c>
      <c r="M446" s="4">
        <f t="shared" si="18"/>
        <v>24.75</v>
      </c>
      <c r="N446" t="str">
        <f t="shared" si="19"/>
        <v>Excelsa</v>
      </c>
      <c r="O446" t="str">
        <f t="shared" si="20"/>
        <v>Medium</v>
      </c>
      <c r="P446" t="str">
        <f>_xlfn.XLOOKUP(Table1[[#This Row],[Customer ID]],customers!$A$1:$A$1001,customers!$I$1:$I$1001,,0)</f>
        <v>No</v>
      </c>
    </row>
    <row r="447" spans="1:16" x14ac:dyDescent="0.3">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6">
        <f>INDEX(products!$A$1:$G$49,MATCH(orders!$D447,products!$A$1:$A$49,0),MATCH(orders!K$1,products!$A$1:$G$1,0))</f>
        <v>2.5</v>
      </c>
      <c r="L447" s="5">
        <f>INDEX(products!$A$1:$G$49,MATCH(orders!$D447,products!$A$1:$A$49,0),MATCH(orders!L$1,products!$A$1:$G$1,0))</f>
        <v>33.464999999999996</v>
      </c>
      <c r="M447" s="4">
        <f t="shared" si="18"/>
        <v>66.929999999999993</v>
      </c>
      <c r="N447" t="str">
        <f t="shared" si="19"/>
        <v>Librica</v>
      </c>
      <c r="O447" t="str">
        <f t="shared" si="20"/>
        <v>Medium</v>
      </c>
      <c r="P447" t="str">
        <f>_xlfn.XLOOKUP(Table1[[#This Row],[Customer ID]],customers!$A$1:$A$1001,customers!$I$1:$I$1001,,0)</f>
        <v>Yes</v>
      </c>
    </row>
    <row r="448" spans="1:16" x14ac:dyDescent="0.3">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6">
        <f>INDEX(products!$A$1:$G$49,MATCH(orders!$D448,products!$A$1:$A$49,0),MATCH(orders!K$1,products!$A$1:$G$1,0))</f>
        <v>0.5</v>
      </c>
      <c r="L448" s="5">
        <f>INDEX(products!$A$1:$G$49,MATCH(orders!$D448,products!$A$1:$A$49,0),MATCH(orders!L$1,products!$A$1:$G$1,0))</f>
        <v>8.73</v>
      </c>
      <c r="M448" s="4">
        <f t="shared" si="18"/>
        <v>8.73</v>
      </c>
      <c r="N448" t="str">
        <f t="shared" si="19"/>
        <v>Librica</v>
      </c>
      <c r="O448" t="str">
        <f t="shared" si="20"/>
        <v>Medium</v>
      </c>
      <c r="P448" t="str">
        <f>_xlfn.XLOOKUP(Table1[[#This Row],[Customer ID]],customers!$A$1:$A$1001,customers!$I$1:$I$1001,,0)</f>
        <v>Yes</v>
      </c>
    </row>
    <row r="449" spans="1:16" x14ac:dyDescent="0.3">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6">
        <f>INDEX(products!$A$1:$G$49,MATCH(orders!$D449,products!$A$1:$A$49,0),MATCH(orders!K$1,products!$A$1:$G$1,0))</f>
        <v>0.5</v>
      </c>
      <c r="L449" s="5">
        <f>INDEX(products!$A$1:$G$49,MATCH(orders!$D449,products!$A$1:$A$49,0),MATCH(orders!L$1,products!$A$1:$G$1,0))</f>
        <v>5.97</v>
      </c>
      <c r="M449" s="4">
        <f t="shared" si="18"/>
        <v>17.91</v>
      </c>
      <c r="N449" t="str">
        <f t="shared" si="19"/>
        <v>Robusta</v>
      </c>
      <c r="O449" t="str">
        <f t="shared" si="20"/>
        <v>Medium</v>
      </c>
      <c r="P449" t="str">
        <f>_xlfn.XLOOKUP(Table1[[#This Row],[Customer ID]],customers!$A$1:$A$1001,customers!$I$1:$I$1001,,0)</f>
        <v>No</v>
      </c>
    </row>
    <row r="450" spans="1:16" x14ac:dyDescent="0.3">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6">
        <f>INDEX(products!$A$1:$G$49,MATCH(orders!$D450,products!$A$1:$A$49,0),MATCH(orders!K$1,products!$A$1:$G$1,0))</f>
        <v>0.5</v>
      </c>
      <c r="L450" s="5">
        <f>INDEX(products!$A$1:$G$49,MATCH(orders!$D450,products!$A$1:$A$49,0),MATCH(orders!L$1,products!$A$1:$G$1,0))</f>
        <v>7.169999999999999</v>
      </c>
      <c r="M450" s="4">
        <f t="shared" si="18"/>
        <v>7.169999999999999</v>
      </c>
      <c r="N450" t="str">
        <f t="shared" si="19"/>
        <v>Robusta</v>
      </c>
      <c r="O450" t="str">
        <f t="shared" si="20"/>
        <v>Light</v>
      </c>
      <c r="P450" t="str">
        <f>_xlfn.XLOOKUP(Table1[[#This Row],[Customer ID]],customers!$A$1:$A$1001,customers!$I$1:$I$1001,,0)</f>
        <v>No</v>
      </c>
    </row>
    <row r="451" spans="1:16" x14ac:dyDescent="0.3">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6">
        <f>INDEX(products!$A$1:$G$49,MATCH(orders!$D451,products!$A$1:$A$49,0),MATCH(orders!K$1,products!$A$1:$G$1,0))</f>
        <v>0.2</v>
      </c>
      <c r="L451" s="5">
        <f>INDEX(products!$A$1:$G$49,MATCH(orders!$D451,products!$A$1:$A$49,0),MATCH(orders!L$1,products!$A$1:$G$1,0))</f>
        <v>2.6849999999999996</v>
      </c>
      <c r="M451" s="4">
        <f t="shared" ref="M451:M514" si="21">L451*E451</f>
        <v>5.3699999999999992</v>
      </c>
      <c r="N451" t="str">
        <f t="shared" ref="N451:N514" si="22">IF(I451="Rob","Robusta",IF(I451="Exc","Excelsa",IF(I451="Ara","Arabica",IF(I451="Lib","Librica",""))))</f>
        <v>Robusta</v>
      </c>
      <c r="O451" t="str">
        <f t="shared" ref="O451:O514" si="23">IF(J451="M","Medium",IF(J451="L","Light",IF(J451="D","Dark","")))</f>
        <v>Dark</v>
      </c>
      <c r="P451" t="str">
        <f>_xlfn.XLOOKUP(Table1[[#This Row],[Customer ID]],customers!$A$1:$A$1001,customers!$I$1:$I$1001,,0)</f>
        <v>No</v>
      </c>
    </row>
    <row r="452" spans="1:16" x14ac:dyDescent="0.3">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6">
        <f>INDEX(products!$A$1:$G$49,MATCH(orders!$D452,products!$A$1:$A$49,0),MATCH(orders!K$1,products!$A$1:$G$1,0))</f>
        <v>0.2</v>
      </c>
      <c r="L452" s="5">
        <f>INDEX(products!$A$1:$G$49,MATCH(orders!$D452,products!$A$1:$A$49,0),MATCH(orders!L$1,products!$A$1:$G$1,0))</f>
        <v>4.7549999999999999</v>
      </c>
      <c r="M452" s="4">
        <f t="shared" si="21"/>
        <v>23.774999999999999</v>
      </c>
      <c r="N452" t="str">
        <f t="shared" si="22"/>
        <v>Librica</v>
      </c>
      <c r="O452" t="str">
        <f t="shared" si="23"/>
        <v>Light</v>
      </c>
      <c r="P452" t="str">
        <f>_xlfn.XLOOKUP(Table1[[#This Row],[Customer ID]],customers!$A$1:$A$1001,customers!$I$1:$I$1001,,0)</f>
        <v>No</v>
      </c>
    </row>
    <row r="453" spans="1:16" x14ac:dyDescent="0.3">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6">
        <f>INDEX(products!$A$1:$G$49,MATCH(orders!$D453,products!$A$1:$A$49,0),MATCH(orders!K$1,products!$A$1:$G$1,0))</f>
        <v>2.5</v>
      </c>
      <c r="L453" s="5">
        <f>INDEX(products!$A$1:$G$49,MATCH(orders!$D453,products!$A$1:$A$49,0),MATCH(orders!L$1,products!$A$1:$G$1,0))</f>
        <v>20.584999999999997</v>
      </c>
      <c r="M453" s="4">
        <f t="shared" si="21"/>
        <v>41.169999999999995</v>
      </c>
      <c r="N453" t="str">
        <f t="shared" si="22"/>
        <v>Robusta</v>
      </c>
      <c r="O453" t="str">
        <f t="shared" si="23"/>
        <v>Dark</v>
      </c>
      <c r="P453" t="str">
        <f>_xlfn.XLOOKUP(Table1[[#This Row],[Customer ID]],customers!$A$1:$A$1001,customers!$I$1:$I$1001,,0)</f>
        <v>Yes</v>
      </c>
    </row>
    <row r="454" spans="1:16" x14ac:dyDescent="0.3">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6">
        <f>INDEX(products!$A$1:$G$49,MATCH(orders!$D454,products!$A$1:$A$49,0),MATCH(orders!K$1,products!$A$1:$G$1,0))</f>
        <v>0.2</v>
      </c>
      <c r="L454" s="5">
        <f>INDEX(products!$A$1:$G$49,MATCH(orders!$D454,products!$A$1:$A$49,0),MATCH(orders!L$1,products!$A$1:$G$1,0))</f>
        <v>3.8849999999999998</v>
      </c>
      <c r="M454" s="4">
        <f t="shared" si="21"/>
        <v>11.654999999999999</v>
      </c>
      <c r="N454" t="str">
        <f t="shared" si="22"/>
        <v>Arabica</v>
      </c>
      <c r="O454" t="str">
        <f t="shared" si="23"/>
        <v>Light</v>
      </c>
      <c r="P454" t="str">
        <f>_xlfn.XLOOKUP(Table1[[#This Row],[Customer ID]],customers!$A$1:$A$1001,customers!$I$1:$I$1001,,0)</f>
        <v>No</v>
      </c>
    </row>
    <row r="455" spans="1:16" x14ac:dyDescent="0.3">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6">
        <f>INDEX(products!$A$1:$G$49,MATCH(orders!$D455,products!$A$1:$A$49,0),MATCH(orders!K$1,products!$A$1:$G$1,0))</f>
        <v>0.5</v>
      </c>
      <c r="L455" s="5">
        <f>INDEX(products!$A$1:$G$49,MATCH(orders!$D455,products!$A$1:$A$49,0),MATCH(orders!L$1,products!$A$1:$G$1,0))</f>
        <v>9.51</v>
      </c>
      <c r="M455" s="4">
        <f t="shared" si="21"/>
        <v>38.04</v>
      </c>
      <c r="N455" t="str">
        <f t="shared" si="22"/>
        <v>Librica</v>
      </c>
      <c r="O455" t="str">
        <f t="shared" si="23"/>
        <v>Light</v>
      </c>
      <c r="P455" t="str">
        <f>_xlfn.XLOOKUP(Table1[[#This Row],[Customer ID]],customers!$A$1:$A$1001,customers!$I$1:$I$1001,,0)</f>
        <v>No</v>
      </c>
    </row>
    <row r="456" spans="1:16" x14ac:dyDescent="0.3">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6">
        <f>INDEX(products!$A$1:$G$49,MATCH(orders!$D456,products!$A$1:$A$49,0),MATCH(orders!K$1,products!$A$1:$G$1,0))</f>
        <v>2.5</v>
      </c>
      <c r="L456" s="5">
        <f>INDEX(products!$A$1:$G$49,MATCH(orders!$D456,products!$A$1:$A$49,0),MATCH(orders!L$1,products!$A$1:$G$1,0))</f>
        <v>20.584999999999997</v>
      </c>
      <c r="M456" s="4">
        <f t="shared" si="21"/>
        <v>82.339999999999989</v>
      </c>
      <c r="N456" t="str">
        <f t="shared" si="22"/>
        <v>Robusta</v>
      </c>
      <c r="O456" t="str">
        <f t="shared" si="23"/>
        <v>Dark</v>
      </c>
      <c r="P456" t="str">
        <f>_xlfn.XLOOKUP(Table1[[#This Row],[Customer ID]],customers!$A$1:$A$1001,customers!$I$1:$I$1001,,0)</f>
        <v>Yes</v>
      </c>
    </row>
    <row r="457" spans="1:16" x14ac:dyDescent="0.3">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6">
        <f>INDEX(products!$A$1:$G$49,MATCH(orders!$D457,products!$A$1:$A$49,0),MATCH(orders!K$1,products!$A$1:$G$1,0))</f>
        <v>0.2</v>
      </c>
      <c r="L457" s="5">
        <f>INDEX(products!$A$1:$G$49,MATCH(orders!$D457,products!$A$1:$A$49,0),MATCH(orders!L$1,products!$A$1:$G$1,0))</f>
        <v>4.7549999999999999</v>
      </c>
      <c r="M457" s="4">
        <f t="shared" si="21"/>
        <v>9.51</v>
      </c>
      <c r="N457" t="str">
        <f t="shared" si="22"/>
        <v>Librica</v>
      </c>
      <c r="O457" t="str">
        <f t="shared" si="23"/>
        <v>Light</v>
      </c>
      <c r="P457" t="str">
        <f>_xlfn.XLOOKUP(Table1[[#This Row],[Customer ID]],customers!$A$1:$A$1001,customers!$I$1:$I$1001,,0)</f>
        <v>Yes</v>
      </c>
    </row>
    <row r="458" spans="1:16" x14ac:dyDescent="0.3">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6">
        <f>INDEX(products!$A$1:$G$49,MATCH(orders!$D458,products!$A$1:$A$49,0),MATCH(orders!K$1,products!$A$1:$G$1,0))</f>
        <v>2.5</v>
      </c>
      <c r="L458" s="5">
        <f>INDEX(products!$A$1:$G$49,MATCH(orders!$D458,products!$A$1:$A$49,0),MATCH(orders!L$1,products!$A$1:$G$1,0))</f>
        <v>20.584999999999997</v>
      </c>
      <c r="M458" s="4">
        <f t="shared" si="21"/>
        <v>41.169999999999995</v>
      </c>
      <c r="N458" t="str">
        <f t="shared" si="22"/>
        <v>Robusta</v>
      </c>
      <c r="O458" t="str">
        <f t="shared" si="23"/>
        <v>Dark</v>
      </c>
      <c r="P458" t="str">
        <f>_xlfn.XLOOKUP(Table1[[#This Row],[Customer ID]],customers!$A$1:$A$1001,customers!$I$1:$I$1001,,0)</f>
        <v>No</v>
      </c>
    </row>
    <row r="459" spans="1:16" x14ac:dyDescent="0.3">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6">
        <f>INDEX(products!$A$1:$G$49,MATCH(orders!$D459,products!$A$1:$A$49,0),MATCH(orders!K$1,products!$A$1:$G$1,0))</f>
        <v>0.5</v>
      </c>
      <c r="L459" s="5">
        <f>INDEX(products!$A$1:$G$49,MATCH(orders!$D459,products!$A$1:$A$49,0),MATCH(orders!L$1,products!$A$1:$G$1,0))</f>
        <v>9.51</v>
      </c>
      <c r="M459" s="4">
        <f t="shared" si="21"/>
        <v>47.55</v>
      </c>
      <c r="N459" t="str">
        <f t="shared" si="22"/>
        <v>Librica</v>
      </c>
      <c r="O459" t="str">
        <f t="shared" si="23"/>
        <v>Light</v>
      </c>
      <c r="P459" t="str">
        <f>_xlfn.XLOOKUP(Table1[[#This Row],[Customer ID]],customers!$A$1:$A$1001,customers!$I$1:$I$1001,,0)</f>
        <v>No</v>
      </c>
    </row>
    <row r="460" spans="1:16" x14ac:dyDescent="0.3">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6">
        <f>INDEX(products!$A$1:$G$49,MATCH(orders!$D460,products!$A$1:$A$49,0),MATCH(orders!K$1,products!$A$1:$G$1,0))</f>
        <v>1</v>
      </c>
      <c r="L460" s="5">
        <f>INDEX(products!$A$1:$G$49,MATCH(orders!$D460,products!$A$1:$A$49,0),MATCH(orders!L$1,products!$A$1:$G$1,0))</f>
        <v>11.25</v>
      </c>
      <c r="M460" s="4">
        <f t="shared" si="21"/>
        <v>45</v>
      </c>
      <c r="N460" t="str">
        <f t="shared" si="22"/>
        <v>Arabica</v>
      </c>
      <c r="O460" t="str">
        <f t="shared" si="23"/>
        <v>Medium</v>
      </c>
      <c r="P460" t="str">
        <f>_xlfn.XLOOKUP(Table1[[#This Row],[Customer ID]],customers!$A$1:$A$1001,customers!$I$1:$I$1001,,0)</f>
        <v>No</v>
      </c>
    </row>
    <row r="461" spans="1:16" x14ac:dyDescent="0.3">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6">
        <f>INDEX(products!$A$1:$G$49,MATCH(orders!$D461,products!$A$1:$A$49,0),MATCH(orders!K$1,products!$A$1:$G$1,0))</f>
        <v>0.2</v>
      </c>
      <c r="L461" s="5">
        <f>INDEX(products!$A$1:$G$49,MATCH(orders!$D461,products!$A$1:$A$49,0),MATCH(orders!L$1,products!$A$1:$G$1,0))</f>
        <v>4.7549999999999999</v>
      </c>
      <c r="M461" s="4">
        <f t="shared" si="21"/>
        <v>23.774999999999999</v>
      </c>
      <c r="N461" t="str">
        <f t="shared" si="22"/>
        <v>Librica</v>
      </c>
      <c r="O461" t="str">
        <f t="shared" si="23"/>
        <v>Light</v>
      </c>
      <c r="P461" t="str">
        <f>_xlfn.XLOOKUP(Table1[[#This Row],[Customer ID]],customers!$A$1:$A$1001,customers!$I$1:$I$1001,,0)</f>
        <v>No</v>
      </c>
    </row>
    <row r="462" spans="1:16" x14ac:dyDescent="0.3">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6">
        <f>INDEX(products!$A$1:$G$49,MATCH(orders!$D462,products!$A$1:$A$49,0),MATCH(orders!K$1,products!$A$1:$G$1,0))</f>
        <v>0.5</v>
      </c>
      <c r="L462" s="5">
        <f>INDEX(products!$A$1:$G$49,MATCH(orders!$D462,products!$A$1:$A$49,0),MATCH(orders!L$1,products!$A$1:$G$1,0))</f>
        <v>5.3699999999999992</v>
      </c>
      <c r="M462" s="4">
        <f t="shared" si="21"/>
        <v>16.11</v>
      </c>
      <c r="N462" t="str">
        <f t="shared" si="22"/>
        <v>Robusta</v>
      </c>
      <c r="O462" t="str">
        <f t="shared" si="23"/>
        <v>Dark</v>
      </c>
      <c r="P462" t="str">
        <f>_xlfn.XLOOKUP(Table1[[#This Row],[Customer ID]],customers!$A$1:$A$1001,customers!$I$1:$I$1001,,0)</f>
        <v>Yes</v>
      </c>
    </row>
    <row r="463" spans="1:16" x14ac:dyDescent="0.3">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6">
        <f>INDEX(products!$A$1:$G$49,MATCH(orders!$D463,products!$A$1:$A$49,0),MATCH(orders!K$1,products!$A$1:$G$1,0))</f>
        <v>0.2</v>
      </c>
      <c r="L463" s="5">
        <f>INDEX(products!$A$1:$G$49,MATCH(orders!$D463,products!$A$1:$A$49,0),MATCH(orders!L$1,products!$A$1:$G$1,0))</f>
        <v>2.6849999999999996</v>
      </c>
      <c r="M463" s="4">
        <f t="shared" si="21"/>
        <v>10.739999999999998</v>
      </c>
      <c r="N463" t="str">
        <f t="shared" si="22"/>
        <v>Robusta</v>
      </c>
      <c r="O463" t="str">
        <f t="shared" si="23"/>
        <v>Dark</v>
      </c>
      <c r="P463" t="str">
        <f>_xlfn.XLOOKUP(Table1[[#This Row],[Customer ID]],customers!$A$1:$A$1001,customers!$I$1:$I$1001,,0)</f>
        <v>Yes</v>
      </c>
    </row>
    <row r="464" spans="1:16" x14ac:dyDescent="0.3">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6">
        <f>INDEX(products!$A$1:$G$49,MATCH(orders!$D464,products!$A$1:$A$49,0),MATCH(orders!K$1,products!$A$1:$G$1,0))</f>
        <v>1</v>
      </c>
      <c r="L464" s="5">
        <f>INDEX(products!$A$1:$G$49,MATCH(orders!$D464,products!$A$1:$A$49,0),MATCH(orders!L$1,products!$A$1:$G$1,0))</f>
        <v>9.9499999999999993</v>
      </c>
      <c r="M464" s="4">
        <f t="shared" si="21"/>
        <v>49.75</v>
      </c>
      <c r="N464" t="str">
        <f t="shared" si="22"/>
        <v>Arabica</v>
      </c>
      <c r="O464" t="str">
        <f t="shared" si="23"/>
        <v>Dark</v>
      </c>
      <c r="P464" t="str">
        <f>_xlfn.XLOOKUP(Table1[[#This Row],[Customer ID]],customers!$A$1:$A$1001,customers!$I$1:$I$1001,,0)</f>
        <v>Yes</v>
      </c>
    </row>
    <row r="465" spans="1:16" x14ac:dyDescent="0.3">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6">
        <f>INDEX(products!$A$1:$G$49,MATCH(orders!$D465,products!$A$1:$A$49,0),MATCH(orders!K$1,products!$A$1:$G$1,0))</f>
        <v>1</v>
      </c>
      <c r="L465" s="5">
        <f>INDEX(products!$A$1:$G$49,MATCH(orders!$D465,products!$A$1:$A$49,0),MATCH(orders!L$1,products!$A$1:$G$1,0))</f>
        <v>13.75</v>
      </c>
      <c r="M465" s="4">
        <f t="shared" si="21"/>
        <v>27.5</v>
      </c>
      <c r="N465" t="str">
        <f t="shared" si="22"/>
        <v>Excelsa</v>
      </c>
      <c r="O465" t="str">
        <f t="shared" si="23"/>
        <v>Medium</v>
      </c>
      <c r="P465" t="str">
        <f>_xlfn.XLOOKUP(Table1[[#This Row],[Customer ID]],customers!$A$1:$A$1001,customers!$I$1:$I$1001,,0)</f>
        <v>No</v>
      </c>
    </row>
    <row r="466" spans="1:16" x14ac:dyDescent="0.3">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6">
        <f>INDEX(products!$A$1:$G$49,MATCH(orders!$D466,products!$A$1:$A$49,0),MATCH(orders!K$1,products!$A$1:$G$1,0))</f>
        <v>2.5</v>
      </c>
      <c r="L466" s="5">
        <f>INDEX(products!$A$1:$G$49,MATCH(orders!$D466,products!$A$1:$A$49,0),MATCH(orders!L$1,products!$A$1:$G$1,0))</f>
        <v>29.784999999999997</v>
      </c>
      <c r="M466" s="4">
        <f t="shared" si="21"/>
        <v>119.13999999999999</v>
      </c>
      <c r="N466" t="str">
        <f t="shared" si="22"/>
        <v>Librica</v>
      </c>
      <c r="O466" t="str">
        <f t="shared" si="23"/>
        <v>Dark</v>
      </c>
      <c r="P466" t="str">
        <f>_xlfn.XLOOKUP(Table1[[#This Row],[Customer ID]],customers!$A$1:$A$1001,customers!$I$1:$I$1001,,0)</f>
        <v>No</v>
      </c>
    </row>
    <row r="467" spans="1:16" x14ac:dyDescent="0.3">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6">
        <f>INDEX(products!$A$1:$G$49,MATCH(orders!$D467,products!$A$1:$A$49,0),MATCH(orders!K$1,products!$A$1:$G$1,0))</f>
        <v>2.5</v>
      </c>
      <c r="L467" s="5">
        <f>INDEX(products!$A$1:$G$49,MATCH(orders!$D467,products!$A$1:$A$49,0),MATCH(orders!L$1,products!$A$1:$G$1,0))</f>
        <v>20.584999999999997</v>
      </c>
      <c r="M467" s="4">
        <f t="shared" si="21"/>
        <v>20.584999999999997</v>
      </c>
      <c r="N467" t="str">
        <f t="shared" si="22"/>
        <v>Robusta</v>
      </c>
      <c r="O467" t="str">
        <f t="shared" si="23"/>
        <v>Dark</v>
      </c>
      <c r="P467" t="str">
        <f>_xlfn.XLOOKUP(Table1[[#This Row],[Customer ID]],customers!$A$1:$A$1001,customers!$I$1:$I$1001,,0)</f>
        <v>Yes</v>
      </c>
    </row>
    <row r="468" spans="1:16" x14ac:dyDescent="0.3">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6">
        <f>INDEX(products!$A$1:$G$49,MATCH(orders!$D468,products!$A$1:$A$49,0),MATCH(orders!K$1,products!$A$1:$G$1,0))</f>
        <v>0.2</v>
      </c>
      <c r="L468" s="5">
        <f>INDEX(products!$A$1:$G$49,MATCH(orders!$D468,products!$A$1:$A$49,0),MATCH(orders!L$1,products!$A$1:$G$1,0))</f>
        <v>2.9849999999999999</v>
      </c>
      <c r="M468" s="4">
        <f t="shared" si="21"/>
        <v>8.9550000000000001</v>
      </c>
      <c r="N468" t="str">
        <f t="shared" si="22"/>
        <v>Arabica</v>
      </c>
      <c r="O468" t="str">
        <f t="shared" si="23"/>
        <v>Dark</v>
      </c>
      <c r="P468" t="str">
        <f>_xlfn.XLOOKUP(Table1[[#This Row],[Customer ID]],customers!$A$1:$A$1001,customers!$I$1:$I$1001,,0)</f>
        <v>Yes</v>
      </c>
    </row>
    <row r="469" spans="1:16" x14ac:dyDescent="0.3">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6">
        <f>INDEX(products!$A$1:$G$49,MATCH(orders!$D469,products!$A$1:$A$49,0),MATCH(orders!K$1,products!$A$1:$G$1,0))</f>
        <v>0.5</v>
      </c>
      <c r="L469" s="5">
        <f>INDEX(products!$A$1:$G$49,MATCH(orders!$D469,products!$A$1:$A$49,0),MATCH(orders!L$1,products!$A$1:$G$1,0))</f>
        <v>5.97</v>
      </c>
      <c r="M469" s="4">
        <f t="shared" si="21"/>
        <v>5.97</v>
      </c>
      <c r="N469" t="str">
        <f t="shared" si="22"/>
        <v>Arabica</v>
      </c>
      <c r="O469" t="str">
        <f t="shared" si="23"/>
        <v>Dark</v>
      </c>
      <c r="P469" t="str">
        <f>_xlfn.XLOOKUP(Table1[[#This Row],[Customer ID]],customers!$A$1:$A$1001,customers!$I$1:$I$1001,,0)</f>
        <v>No</v>
      </c>
    </row>
    <row r="470" spans="1:16" x14ac:dyDescent="0.3">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6">
        <f>INDEX(products!$A$1:$G$49,MATCH(orders!$D470,products!$A$1:$A$49,0),MATCH(orders!K$1,products!$A$1:$G$1,0))</f>
        <v>1</v>
      </c>
      <c r="L470" s="5">
        <f>INDEX(products!$A$1:$G$49,MATCH(orders!$D470,products!$A$1:$A$49,0),MATCH(orders!L$1,products!$A$1:$G$1,0))</f>
        <v>13.75</v>
      </c>
      <c r="M470" s="4">
        <f t="shared" si="21"/>
        <v>41.25</v>
      </c>
      <c r="N470" t="str">
        <f t="shared" si="22"/>
        <v>Excelsa</v>
      </c>
      <c r="O470" t="str">
        <f t="shared" si="23"/>
        <v>Medium</v>
      </c>
      <c r="P470" t="str">
        <f>_xlfn.XLOOKUP(Table1[[#This Row],[Customer ID]],customers!$A$1:$A$1001,customers!$I$1:$I$1001,,0)</f>
        <v>Yes</v>
      </c>
    </row>
    <row r="471" spans="1:16" x14ac:dyDescent="0.3">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6">
        <f>INDEX(products!$A$1:$G$49,MATCH(orders!$D471,products!$A$1:$A$49,0),MATCH(orders!K$1,products!$A$1:$G$1,0))</f>
        <v>0.2</v>
      </c>
      <c r="L471" s="5">
        <f>INDEX(products!$A$1:$G$49,MATCH(orders!$D471,products!$A$1:$A$49,0),MATCH(orders!L$1,products!$A$1:$G$1,0))</f>
        <v>4.4550000000000001</v>
      </c>
      <c r="M471" s="4">
        <f t="shared" si="21"/>
        <v>22.274999999999999</v>
      </c>
      <c r="N471" t="str">
        <f t="shared" si="22"/>
        <v>Excelsa</v>
      </c>
      <c r="O471" t="str">
        <f t="shared" si="23"/>
        <v>Light</v>
      </c>
      <c r="P471" t="str">
        <f>_xlfn.XLOOKUP(Table1[[#This Row],[Customer ID]],customers!$A$1:$A$1001,customers!$I$1:$I$1001,,0)</f>
        <v>Yes</v>
      </c>
    </row>
    <row r="472" spans="1:16" x14ac:dyDescent="0.3">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6">
        <f>INDEX(products!$A$1:$G$49,MATCH(orders!$D472,products!$A$1:$A$49,0),MATCH(orders!K$1,products!$A$1:$G$1,0))</f>
        <v>0.5</v>
      </c>
      <c r="L472" s="5">
        <f>INDEX(products!$A$1:$G$49,MATCH(orders!$D472,products!$A$1:$A$49,0),MATCH(orders!L$1,products!$A$1:$G$1,0))</f>
        <v>6.75</v>
      </c>
      <c r="M472" s="4">
        <f t="shared" si="21"/>
        <v>6.75</v>
      </c>
      <c r="N472" t="str">
        <f t="shared" si="22"/>
        <v>Arabica</v>
      </c>
      <c r="O472" t="str">
        <f t="shared" si="23"/>
        <v>Medium</v>
      </c>
      <c r="P472" t="str">
        <f>_xlfn.XLOOKUP(Table1[[#This Row],[Customer ID]],customers!$A$1:$A$1001,customers!$I$1:$I$1001,,0)</f>
        <v>Yes</v>
      </c>
    </row>
    <row r="473" spans="1:16" x14ac:dyDescent="0.3">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6">
        <f>INDEX(products!$A$1:$G$49,MATCH(orders!$D473,products!$A$1:$A$49,0),MATCH(orders!K$1,products!$A$1:$G$1,0))</f>
        <v>2.5</v>
      </c>
      <c r="L473" s="5">
        <f>INDEX(products!$A$1:$G$49,MATCH(orders!$D473,products!$A$1:$A$49,0),MATCH(orders!L$1,products!$A$1:$G$1,0))</f>
        <v>33.464999999999996</v>
      </c>
      <c r="M473" s="4">
        <f t="shared" si="21"/>
        <v>133.85999999999999</v>
      </c>
      <c r="N473" t="str">
        <f t="shared" si="22"/>
        <v>Librica</v>
      </c>
      <c r="O473" t="str">
        <f t="shared" si="23"/>
        <v>Medium</v>
      </c>
      <c r="P473" t="str">
        <f>_xlfn.XLOOKUP(Table1[[#This Row],[Customer ID]],customers!$A$1:$A$1001,customers!$I$1:$I$1001,,0)</f>
        <v>Yes</v>
      </c>
    </row>
    <row r="474" spans="1:16" x14ac:dyDescent="0.3">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6">
        <f>INDEX(products!$A$1:$G$49,MATCH(orders!$D474,products!$A$1:$A$49,0),MATCH(orders!K$1,products!$A$1:$G$1,0))</f>
        <v>0.2</v>
      </c>
      <c r="L474" s="5">
        <f>INDEX(products!$A$1:$G$49,MATCH(orders!$D474,products!$A$1:$A$49,0),MATCH(orders!L$1,products!$A$1:$G$1,0))</f>
        <v>2.9849999999999999</v>
      </c>
      <c r="M474" s="4">
        <f t="shared" si="21"/>
        <v>5.97</v>
      </c>
      <c r="N474" t="str">
        <f t="shared" si="22"/>
        <v>Arabica</v>
      </c>
      <c r="O474" t="str">
        <f t="shared" si="23"/>
        <v>Dark</v>
      </c>
      <c r="P474" t="str">
        <f>_xlfn.XLOOKUP(Table1[[#This Row],[Customer ID]],customers!$A$1:$A$1001,customers!$I$1:$I$1001,,0)</f>
        <v>No</v>
      </c>
    </row>
    <row r="475" spans="1:16" x14ac:dyDescent="0.3">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6">
        <f>INDEX(products!$A$1:$G$49,MATCH(orders!$D475,products!$A$1:$A$49,0),MATCH(orders!K$1,products!$A$1:$G$1,0))</f>
        <v>1</v>
      </c>
      <c r="L475" s="5">
        <f>INDEX(products!$A$1:$G$49,MATCH(orders!$D475,products!$A$1:$A$49,0),MATCH(orders!L$1,products!$A$1:$G$1,0))</f>
        <v>12.95</v>
      </c>
      <c r="M475" s="4">
        <f t="shared" si="21"/>
        <v>25.9</v>
      </c>
      <c r="N475" t="str">
        <f t="shared" si="22"/>
        <v>Arabica</v>
      </c>
      <c r="O475" t="str">
        <f t="shared" si="23"/>
        <v>Light</v>
      </c>
      <c r="P475" t="str">
        <f>_xlfn.XLOOKUP(Table1[[#This Row],[Customer ID]],customers!$A$1:$A$1001,customers!$I$1:$I$1001,,0)</f>
        <v>No</v>
      </c>
    </row>
    <row r="476" spans="1:16" x14ac:dyDescent="0.3">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6">
        <f>INDEX(products!$A$1:$G$49,MATCH(orders!$D476,products!$A$1:$A$49,0),MATCH(orders!K$1,products!$A$1:$G$1,0))</f>
        <v>2.5</v>
      </c>
      <c r="L476" s="5">
        <f>INDEX(products!$A$1:$G$49,MATCH(orders!$D476,products!$A$1:$A$49,0),MATCH(orders!L$1,products!$A$1:$G$1,0))</f>
        <v>31.624999999999996</v>
      </c>
      <c r="M476" s="4">
        <f t="shared" si="21"/>
        <v>31.624999999999996</v>
      </c>
      <c r="N476" t="str">
        <f t="shared" si="22"/>
        <v>Excelsa</v>
      </c>
      <c r="O476" t="str">
        <f t="shared" si="23"/>
        <v>Medium</v>
      </c>
      <c r="P476" t="str">
        <f>_xlfn.XLOOKUP(Table1[[#This Row],[Customer ID]],customers!$A$1:$A$1001,customers!$I$1:$I$1001,,0)</f>
        <v>Yes</v>
      </c>
    </row>
    <row r="477" spans="1:16" x14ac:dyDescent="0.3">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6">
        <f>INDEX(products!$A$1:$G$49,MATCH(orders!$D477,products!$A$1:$A$49,0),MATCH(orders!K$1,products!$A$1:$G$1,0))</f>
        <v>0.2</v>
      </c>
      <c r="L477" s="5">
        <f>INDEX(products!$A$1:$G$49,MATCH(orders!$D477,products!$A$1:$A$49,0),MATCH(orders!L$1,products!$A$1:$G$1,0))</f>
        <v>4.3650000000000002</v>
      </c>
      <c r="M477" s="4">
        <f t="shared" si="21"/>
        <v>8.73</v>
      </c>
      <c r="N477" t="str">
        <f t="shared" si="22"/>
        <v>Librica</v>
      </c>
      <c r="O477" t="str">
        <f t="shared" si="23"/>
        <v>Medium</v>
      </c>
      <c r="P477" t="str">
        <f>_xlfn.XLOOKUP(Table1[[#This Row],[Customer ID]],customers!$A$1:$A$1001,customers!$I$1:$I$1001,,0)</f>
        <v>No</v>
      </c>
    </row>
    <row r="478" spans="1:16" x14ac:dyDescent="0.3">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6">
        <f>INDEX(products!$A$1:$G$49,MATCH(orders!$D478,products!$A$1:$A$49,0),MATCH(orders!K$1,products!$A$1:$G$1,0))</f>
        <v>0.2</v>
      </c>
      <c r="L478" s="5">
        <f>INDEX(products!$A$1:$G$49,MATCH(orders!$D478,products!$A$1:$A$49,0),MATCH(orders!L$1,products!$A$1:$G$1,0))</f>
        <v>4.4550000000000001</v>
      </c>
      <c r="M478" s="4">
        <f t="shared" si="21"/>
        <v>26.73</v>
      </c>
      <c r="N478" t="str">
        <f t="shared" si="22"/>
        <v>Excelsa</v>
      </c>
      <c r="O478" t="str">
        <f t="shared" si="23"/>
        <v>Light</v>
      </c>
      <c r="P478" t="str">
        <f>_xlfn.XLOOKUP(Table1[[#This Row],[Customer ID]],customers!$A$1:$A$1001,customers!$I$1:$I$1001,,0)</f>
        <v>Yes</v>
      </c>
    </row>
    <row r="479" spans="1:16" x14ac:dyDescent="0.3">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6">
        <f>INDEX(products!$A$1:$G$49,MATCH(orders!$D479,products!$A$1:$A$49,0),MATCH(orders!K$1,products!$A$1:$G$1,0))</f>
        <v>0.2</v>
      </c>
      <c r="L479" s="5">
        <f>INDEX(products!$A$1:$G$49,MATCH(orders!$D479,products!$A$1:$A$49,0),MATCH(orders!L$1,products!$A$1:$G$1,0))</f>
        <v>4.3650000000000002</v>
      </c>
      <c r="M479" s="4">
        <f t="shared" si="21"/>
        <v>26.19</v>
      </c>
      <c r="N479" t="str">
        <f t="shared" si="22"/>
        <v>Librica</v>
      </c>
      <c r="O479" t="str">
        <f t="shared" si="23"/>
        <v>Medium</v>
      </c>
      <c r="P479" t="str">
        <f>_xlfn.XLOOKUP(Table1[[#This Row],[Customer ID]],customers!$A$1:$A$1001,customers!$I$1:$I$1001,,0)</f>
        <v>No</v>
      </c>
    </row>
    <row r="480" spans="1:16" x14ac:dyDescent="0.3">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6">
        <f>INDEX(products!$A$1:$G$49,MATCH(orders!$D480,products!$A$1:$A$49,0),MATCH(orders!K$1,products!$A$1:$G$1,0))</f>
        <v>1</v>
      </c>
      <c r="L480" s="5">
        <f>INDEX(products!$A$1:$G$49,MATCH(orders!$D480,products!$A$1:$A$49,0),MATCH(orders!L$1,products!$A$1:$G$1,0))</f>
        <v>8.9499999999999993</v>
      </c>
      <c r="M480" s="4">
        <f t="shared" si="21"/>
        <v>53.699999999999996</v>
      </c>
      <c r="N480" t="str">
        <f t="shared" si="22"/>
        <v>Robusta</v>
      </c>
      <c r="O480" t="str">
        <f t="shared" si="23"/>
        <v>Dark</v>
      </c>
      <c r="P480" t="str">
        <f>_xlfn.XLOOKUP(Table1[[#This Row],[Customer ID]],customers!$A$1:$A$1001,customers!$I$1:$I$1001,,0)</f>
        <v>Yes</v>
      </c>
    </row>
    <row r="481" spans="1:16" x14ac:dyDescent="0.3">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6">
        <f>INDEX(products!$A$1:$G$49,MATCH(orders!$D481,products!$A$1:$A$49,0),MATCH(orders!K$1,products!$A$1:$G$1,0))</f>
        <v>2.5</v>
      </c>
      <c r="L481" s="5">
        <f>INDEX(products!$A$1:$G$49,MATCH(orders!$D481,products!$A$1:$A$49,0),MATCH(orders!L$1,products!$A$1:$G$1,0))</f>
        <v>31.624999999999996</v>
      </c>
      <c r="M481" s="4">
        <f t="shared" si="21"/>
        <v>126.49999999999999</v>
      </c>
      <c r="N481" t="str">
        <f t="shared" si="22"/>
        <v>Excelsa</v>
      </c>
      <c r="O481" t="str">
        <f t="shared" si="23"/>
        <v>Medium</v>
      </c>
      <c r="P481" t="str">
        <f>_xlfn.XLOOKUP(Table1[[#This Row],[Customer ID]],customers!$A$1:$A$1001,customers!$I$1:$I$1001,,0)</f>
        <v>Yes</v>
      </c>
    </row>
    <row r="482" spans="1:16" x14ac:dyDescent="0.3">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6">
        <f>INDEX(products!$A$1:$G$49,MATCH(orders!$D482,products!$A$1:$A$49,0),MATCH(orders!K$1,products!$A$1:$G$1,0))</f>
        <v>0.2</v>
      </c>
      <c r="L482" s="5">
        <f>INDEX(products!$A$1:$G$49,MATCH(orders!$D482,products!$A$1:$A$49,0),MATCH(orders!L$1,products!$A$1:$G$1,0))</f>
        <v>4.125</v>
      </c>
      <c r="M482" s="4">
        <f t="shared" si="21"/>
        <v>4.125</v>
      </c>
      <c r="N482" t="str">
        <f t="shared" si="22"/>
        <v>Excelsa</v>
      </c>
      <c r="O482" t="str">
        <f t="shared" si="23"/>
        <v>Medium</v>
      </c>
      <c r="P482" t="str">
        <f>_xlfn.XLOOKUP(Table1[[#This Row],[Customer ID]],customers!$A$1:$A$1001,customers!$I$1:$I$1001,,0)</f>
        <v>Yes</v>
      </c>
    </row>
    <row r="483" spans="1:16" x14ac:dyDescent="0.3">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6">
        <f>INDEX(products!$A$1:$G$49,MATCH(orders!$D483,products!$A$1:$A$49,0),MATCH(orders!K$1,products!$A$1:$G$1,0))</f>
        <v>1</v>
      </c>
      <c r="L483" s="5">
        <f>INDEX(products!$A$1:$G$49,MATCH(orders!$D483,products!$A$1:$A$49,0),MATCH(orders!L$1,products!$A$1:$G$1,0))</f>
        <v>11.95</v>
      </c>
      <c r="M483" s="4">
        <f t="shared" si="21"/>
        <v>23.9</v>
      </c>
      <c r="N483" t="str">
        <f t="shared" si="22"/>
        <v>Robusta</v>
      </c>
      <c r="O483" t="str">
        <f t="shared" si="23"/>
        <v>Light</v>
      </c>
      <c r="P483" t="str">
        <f>_xlfn.XLOOKUP(Table1[[#This Row],[Customer ID]],customers!$A$1:$A$1001,customers!$I$1:$I$1001,,0)</f>
        <v>No</v>
      </c>
    </row>
    <row r="484" spans="1:16" x14ac:dyDescent="0.3">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6">
        <f>INDEX(products!$A$1:$G$49,MATCH(orders!$D484,products!$A$1:$A$49,0),MATCH(orders!K$1,products!$A$1:$G$1,0))</f>
        <v>2.5</v>
      </c>
      <c r="L484" s="5">
        <f>INDEX(products!$A$1:$G$49,MATCH(orders!$D484,products!$A$1:$A$49,0),MATCH(orders!L$1,products!$A$1:$G$1,0))</f>
        <v>27.945</v>
      </c>
      <c r="M484" s="4">
        <f t="shared" si="21"/>
        <v>139.72499999999999</v>
      </c>
      <c r="N484" t="str">
        <f t="shared" si="22"/>
        <v>Excelsa</v>
      </c>
      <c r="O484" t="str">
        <f t="shared" si="23"/>
        <v>Dark</v>
      </c>
      <c r="P484" t="str">
        <f>_xlfn.XLOOKUP(Table1[[#This Row],[Customer ID]],customers!$A$1:$A$1001,customers!$I$1:$I$1001,,0)</f>
        <v>Yes</v>
      </c>
    </row>
    <row r="485" spans="1:16" x14ac:dyDescent="0.3">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6">
        <f>INDEX(products!$A$1:$G$49,MATCH(orders!$D485,products!$A$1:$A$49,0),MATCH(orders!K$1,products!$A$1:$G$1,0))</f>
        <v>2.5</v>
      </c>
      <c r="L485" s="5">
        <f>INDEX(products!$A$1:$G$49,MATCH(orders!$D485,products!$A$1:$A$49,0),MATCH(orders!L$1,products!$A$1:$G$1,0))</f>
        <v>29.784999999999997</v>
      </c>
      <c r="M485" s="4">
        <f t="shared" si="21"/>
        <v>59.569999999999993</v>
      </c>
      <c r="N485" t="str">
        <f t="shared" si="22"/>
        <v>Librica</v>
      </c>
      <c r="O485" t="str">
        <f t="shared" si="23"/>
        <v>Dark</v>
      </c>
      <c r="P485" t="str">
        <f>_xlfn.XLOOKUP(Table1[[#This Row],[Customer ID]],customers!$A$1:$A$1001,customers!$I$1:$I$1001,,0)</f>
        <v>Yes</v>
      </c>
    </row>
    <row r="486" spans="1:16" x14ac:dyDescent="0.3">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6">
        <f>INDEX(products!$A$1:$G$49,MATCH(orders!$D486,products!$A$1:$A$49,0),MATCH(orders!K$1,products!$A$1:$G$1,0))</f>
        <v>0.5</v>
      </c>
      <c r="L486" s="5">
        <f>INDEX(products!$A$1:$G$49,MATCH(orders!$D486,products!$A$1:$A$49,0),MATCH(orders!L$1,products!$A$1:$G$1,0))</f>
        <v>9.51</v>
      </c>
      <c r="M486" s="4">
        <f t="shared" si="21"/>
        <v>57.06</v>
      </c>
      <c r="N486" t="str">
        <f t="shared" si="22"/>
        <v>Librica</v>
      </c>
      <c r="O486" t="str">
        <f t="shared" si="23"/>
        <v>Light</v>
      </c>
      <c r="P486" t="str">
        <f>_xlfn.XLOOKUP(Table1[[#This Row],[Customer ID]],customers!$A$1:$A$1001,customers!$I$1:$I$1001,,0)</f>
        <v>No</v>
      </c>
    </row>
    <row r="487" spans="1:16" x14ac:dyDescent="0.3">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6">
        <f>INDEX(products!$A$1:$G$49,MATCH(orders!$D487,products!$A$1:$A$49,0),MATCH(orders!K$1,products!$A$1:$G$1,0))</f>
        <v>0.2</v>
      </c>
      <c r="L487" s="5">
        <f>INDEX(products!$A$1:$G$49,MATCH(orders!$D487,products!$A$1:$A$49,0),MATCH(orders!L$1,products!$A$1:$G$1,0))</f>
        <v>3.5849999999999995</v>
      </c>
      <c r="M487" s="4">
        <f t="shared" si="21"/>
        <v>21.509999999999998</v>
      </c>
      <c r="N487" t="str">
        <f t="shared" si="22"/>
        <v>Robusta</v>
      </c>
      <c r="O487" t="str">
        <f t="shared" si="23"/>
        <v>Light</v>
      </c>
      <c r="P487" t="str">
        <f>_xlfn.XLOOKUP(Table1[[#This Row],[Customer ID]],customers!$A$1:$A$1001,customers!$I$1:$I$1001,,0)</f>
        <v>Yes</v>
      </c>
    </row>
    <row r="488" spans="1:16" x14ac:dyDescent="0.3">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6">
        <f>INDEX(products!$A$1:$G$49,MATCH(orders!$D488,products!$A$1:$A$49,0),MATCH(orders!K$1,products!$A$1:$G$1,0))</f>
        <v>0.5</v>
      </c>
      <c r="L488" s="5">
        <f>INDEX(products!$A$1:$G$49,MATCH(orders!$D488,products!$A$1:$A$49,0),MATCH(orders!L$1,products!$A$1:$G$1,0))</f>
        <v>8.73</v>
      </c>
      <c r="M488" s="4">
        <f t="shared" si="21"/>
        <v>52.38</v>
      </c>
      <c r="N488" t="str">
        <f t="shared" si="22"/>
        <v>Librica</v>
      </c>
      <c r="O488" t="str">
        <f t="shared" si="23"/>
        <v>Medium</v>
      </c>
      <c r="P488" t="str">
        <f>_xlfn.XLOOKUP(Table1[[#This Row],[Customer ID]],customers!$A$1:$A$1001,customers!$I$1:$I$1001,,0)</f>
        <v>Yes</v>
      </c>
    </row>
    <row r="489" spans="1:16" x14ac:dyDescent="0.3">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6">
        <f>INDEX(products!$A$1:$G$49,MATCH(orders!$D489,products!$A$1:$A$49,0),MATCH(orders!K$1,products!$A$1:$G$1,0))</f>
        <v>1</v>
      </c>
      <c r="L489" s="5">
        <f>INDEX(products!$A$1:$G$49,MATCH(orders!$D489,products!$A$1:$A$49,0),MATCH(orders!L$1,products!$A$1:$G$1,0))</f>
        <v>12.15</v>
      </c>
      <c r="M489" s="4">
        <f t="shared" si="21"/>
        <v>72.900000000000006</v>
      </c>
      <c r="N489" t="str">
        <f t="shared" si="22"/>
        <v>Excelsa</v>
      </c>
      <c r="O489" t="str">
        <f t="shared" si="23"/>
        <v>Dark</v>
      </c>
      <c r="P489" t="str">
        <f>_xlfn.XLOOKUP(Table1[[#This Row],[Customer ID]],customers!$A$1:$A$1001,customers!$I$1:$I$1001,,0)</f>
        <v>No</v>
      </c>
    </row>
    <row r="490" spans="1:16" x14ac:dyDescent="0.3">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6">
        <f>INDEX(products!$A$1:$G$49,MATCH(orders!$D490,products!$A$1:$A$49,0),MATCH(orders!K$1,products!$A$1:$G$1,0))</f>
        <v>0.2</v>
      </c>
      <c r="L490" s="5">
        <f>INDEX(products!$A$1:$G$49,MATCH(orders!$D490,products!$A$1:$A$49,0),MATCH(orders!L$1,products!$A$1:$G$1,0))</f>
        <v>2.9849999999999999</v>
      </c>
      <c r="M490" s="4">
        <f t="shared" si="21"/>
        <v>14.924999999999999</v>
      </c>
      <c r="N490" t="str">
        <f t="shared" si="22"/>
        <v>Robusta</v>
      </c>
      <c r="O490" t="str">
        <f t="shared" si="23"/>
        <v>Medium</v>
      </c>
      <c r="P490" t="str">
        <f>_xlfn.XLOOKUP(Table1[[#This Row],[Customer ID]],customers!$A$1:$A$1001,customers!$I$1:$I$1001,,0)</f>
        <v>Yes</v>
      </c>
    </row>
    <row r="491" spans="1:16" x14ac:dyDescent="0.3">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6">
        <f>INDEX(products!$A$1:$G$49,MATCH(orders!$D491,products!$A$1:$A$49,0),MATCH(orders!K$1,products!$A$1:$G$1,0))</f>
        <v>1</v>
      </c>
      <c r="L491" s="5">
        <f>INDEX(products!$A$1:$G$49,MATCH(orders!$D491,products!$A$1:$A$49,0),MATCH(orders!L$1,products!$A$1:$G$1,0))</f>
        <v>15.85</v>
      </c>
      <c r="M491" s="4">
        <f t="shared" si="21"/>
        <v>95.1</v>
      </c>
      <c r="N491" t="str">
        <f t="shared" si="22"/>
        <v>Librica</v>
      </c>
      <c r="O491" t="str">
        <f t="shared" si="23"/>
        <v>Light</v>
      </c>
      <c r="P491" t="str">
        <f>_xlfn.XLOOKUP(Table1[[#This Row],[Customer ID]],customers!$A$1:$A$1001,customers!$I$1:$I$1001,,0)</f>
        <v>No</v>
      </c>
    </row>
    <row r="492" spans="1:16" x14ac:dyDescent="0.3">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6">
        <f>INDEX(products!$A$1:$G$49,MATCH(orders!$D492,products!$A$1:$A$49,0),MATCH(orders!K$1,products!$A$1:$G$1,0))</f>
        <v>0.5</v>
      </c>
      <c r="L492" s="5">
        <f>INDEX(products!$A$1:$G$49,MATCH(orders!$D492,products!$A$1:$A$49,0),MATCH(orders!L$1,products!$A$1:$G$1,0))</f>
        <v>7.77</v>
      </c>
      <c r="M492" s="4">
        <f t="shared" si="21"/>
        <v>15.54</v>
      </c>
      <c r="N492" t="str">
        <f t="shared" si="22"/>
        <v>Librica</v>
      </c>
      <c r="O492" t="str">
        <f t="shared" si="23"/>
        <v>Dark</v>
      </c>
      <c r="P492" t="str">
        <f>_xlfn.XLOOKUP(Table1[[#This Row],[Customer ID]],customers!$A$1:$A$1001,customers!$I$1:$I$1001,,0)</f>
        <v>No</v>
      </c>
    </row>
    <row r="493" spans="1:16" x14ac:dyDescent="0.3">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6">
        <f>INDEX(products!$A$1:$G$49,MATCH(orders!$D493,products!$A$1:$A$49,0),MATCH(orders!K$1,products!$A$1:$G$1,0))</f>
        <v>0.2</v>
      </c>
      <c r="L493" s="5">
        <f>INDEX(products!$A$1:$G$49,MATCH(orders!$D493,products!$A$1:$A$49,0),MATCH(orders!L$1,products!$A$1:$G$1,0))</f>
        <v>3.8849999999999998</v>
      </c>
      <c r="M493" s="4">
        <f t="shared" si="21"/>
        <v>23.31</v>
      </c>
      <c r="N493" t="str">
        <f t="shared" si="22"/>
        <v>Librica</v>
      </c>
      <c r="O493" t="str">
        <f t="shared" si="23"/>
        <v>Dark</v>
      </c>
      <c r="P493" t="str">
        <f>_xlfn.XLOOKUP(Table1[[#This Row],[Customer ID]],customers!$A$1:$A$1001,customers!$I$1:$I$1001,,0)</f>
        <v>No</v>
      </c>
    </row>
    <row r="494" spans="1:16" x14ac:dyDescent="0.3">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6">
        <f>INDEX(products!$A$1:$G$49,MATCH(orders!$D494,products!$A$1:$A$49,0),MATCH(orders!K$1,products!$A$1:$G$1,0))</f>
        <v>0.2</v>
      </c>
      <c r="L494" s="5">
        <f>INDEX(products!$A$1:$G$49,MATCH(orders!$D494,products!$A$1:$A$49,0),MATCH(orders!L$1,products!$A$1:$G$1,0))</f>
        <v>4.125</v>
      </c>
      <c r="M494" s="4">
        <f t="shared" si="21"/>
        <v>4.125</v>
      </c>
      <c r="N494" t="str">
        <f t="shared" si="22"/>
        <v>Excelsa</v>
      </c>
      <c r="O494" t="str">
        <f t="shared" si="23"/>
        <v>Medium</v>
      </c>
      <c r="P494" t="str">
        <f>_xlfn.XLOOKUP(Table1[[#This Row],[Customer ID]],customers!$A$1:$A$1001,customers!$I$1:$I$1001,,0)</f>
        <v>Yes</v>
      </c>
    </row>
    <row r="495" spans="1:16" x14ac:dyDescent="0.3">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6">
        <f>INDEX(products!$A$1:$G$49,MATCH(orders!$D495,products!$A$1:$A$49,0),MATCH(orders!K$1,products!$A$1:$G$1,0))</f>
        <v>0.5</v>
      </c>
      <c r="L495" s="5">
        <f>INDEX(products!$A$1:$G$49,MATCH(orders!$D495,products!$A$1:$A$49,0),MATCH(orders!L$1,products!$A$1:$G$1,0))</f>
        <v>5.97</v>
      </c>
      <c r="M495" s="4">
        <f t="shared" si="21"/>
        <v>35.82</v>
      </c>
      <c r="N495" t="str">
        <f t="shared" si="22"/>
        <v>Robusta</v>
      </c>
      <c r="O495" t="str">
        <f t="shared" si="23"/>
        <v>Medium</v>
      </c>
      <c r="P495" t="str">
        <f>_xlfn.XLOOKUP(Table1[[#This Row],[Customer ID]],customers!$A$1:$A$1001,customers!$I$1:$I$1001,,0)</f>
        <v>No</v>
      </c>
    </row>
    <row r="496" spans="1:16" x14ac:dyDescent="0.3">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6">
        <f>INDEX(products!$A$1:$G$49,MATCH(orders!$D496,products!$A$1:$A$49,0),MATCH(orders!K$1,products!$A$1:$G$1,0))</f>
        <v>1</v>
      </c>
      <c r="L496" s="5">
        <f>INDEX(products!$A$1:$G$49,MATCH(orders!$D496,products!$A$1:$A$49,0),MATCH(orders!L$1,products!$A$1:$G$1,0))</f>
        <v>15.85</v>
      </c>
      <c r="M496" s="4">
        <f t="shared" si="21"/>
        <v>31.7</v>
      </c>
      <c r="N496" t="str">
        <f t="shared" si="22"/>
        <v>Librica</v>
      </c>
      <c r="O496" t="str">
        <f t="shared" si="23"/>
        <v>Light</v>
      </c>
      <c r="P496" t="str">
        <f>_xlfn.XLOOKUP(Table1[[#This Row],[Customer ID]],customers!$A$1:$A$1001,customers!$I$1:$I$1001,,0)</f>
        <v>No</v>
      </c>
    </row>
    <row r="497" spans="1:16" x14ac:dyDescent="0.3">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6">
        <f>INDEX(products!$A$1:$G$49,MATCH(orders!$D497,products!$A$1:$A$49,0),MATCH(orders!K$1,products!$A$1:$G$1,0))</f>
        <v>1</v>
      </c>
      <c r="L497" s="5">
        <f>INDEX(products!$A$1:$G$49,MATCH(orders!$D497,products!$A$1:$A$49,0),MATCH(orders!L$1,products!$A$1:$G$1,0))</f>
        <v>15.85</v>
      </c>
      <c r="M497" s="4">
        <f t="shared" si="21"/>
        <v>79.25</v>
      </c>
      <c r="N497" t="str">
        <f t="shared" si="22"/>
        <v>Librica</v>
      </c>
      <c r="O497" t="str">
        <f t="shared" si="23"/>
        <v>Light</v>
      </c>
      <c r="P497" t="str">
        <f>_xlfn.XLOOKUP(Table1[[#This Row],[Customer ID]],customers!$A$1:$A$1001,customers!$I$1:$I$1001,,0)</f>
        <v>Yes</v>
      </c>
    </row>
    <row r="498" spans="1:16" x14ac:dyDescent="0.3">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6">
        <f>INDEX(products!$A$1:$G$49,MATCH(orders!$D498,products!$A$1:$A$49,0),MATCH(orders!K$1,products!$A$1:$G$1,0))</f>
        <v>0.2</v>
      </c>
      <c r="L498" s="5">
        <f>INDEX(products!$A$1:$G$49,MATCH(orders!$D498,products!$A$1:$A$49,0),MATCH(orders!L$1,products!$A$1:$G$1,0))</f>
        <v>3.645</v>
      </c>
      <c r="M498" s="4">
        <f t="shared" si="21"/>
        <v>10.935</v>
      </c>
      <c r="N498" t="str">
        <f t="shared" si="22"/>
        <v>Excelsa</v>
      </c>
      <c r="O498" t="str">
        <f t="shared" si="23"/>
        <v>Dark</v>
      </c>
      <c r="P498" t="str">
        <f>_xlfn.XLOOKUP(Table1[[#This Row],[Customer ID]],customers!$A$1:$A$1001,customers!$I$1:$I$1001,,0)</f>
        <v>No</v>
      </c>
    </row>
    <row r="499" spans="1:16" x14ac:dyDescent="0.3">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6">
        <f>INDEX(products!$A$1:$G$49,MATCH(orders!$D499,products!$A$1:$A$49,0),MATCH(orders!K$1,products!$A$1:$G$1,0))</f>
        <v>1</v>
      </c>
      <c r="L499" s="5">
        <f>INDEX(products!$A$1:$G$49,MATCH(orders!$D499,products!$A$1:$A$49,0),MATCH(orders!L$1,products!$A$1:$G$1,0))</f>
        <v>9.9499999999999993</v>
      </c>
      <c r="M499" s="4">
        <f t="shared" si="21"/>
        <v>39.799999999999997</v>
      </c>
      <c r="N499" t="str">
        <f t="shared" si="22"/>
        <v>Arabica</v>
      </c>
      <c r="O499" t="str">
        <f t="shared" si="23"/>
        <v>Dark</v>
      </c>
      <c r="P499" t="str">
        <f>_xlfn.XLOOKUP(Table1[[#This Row],[Customer ID]],customers!$A$1:$A$1001,customers!$I$1:$I$1001,,0)</f>
        <v>No</v>
      </c>
    </row>
    <row r="500" spans="1:16" x14ac:dyDescent="0.3">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6">
        <f>INDEX(products!$A$1:$G$49,MATCH(orders!$D500,products!$A$1:$A$49,0),MATCH(orders!K$1,products!$A$1:$G$1,0))</f>
        <v>1</v>
      </c>
      <c r="L500" s="5">
        <f>INDEX(products!$A$1:$G$49,MATCH(orders!$D500,products!$A$1:$A$49,0),MATCH(orders!L$1,products!$A$1:$G$1,0))</f>
        <v>9.9499999999999993</v>
      </c>
      <c r="M500" s="4">
        <f t="shared" si="21"/>
        <v>49.75</v>
      </c>
      <c r="N500" t="str">
        <f t="shared" si="22"/>
        <v>Robusta</v>
      </c>
      <c r="O500" t="str">
        <f t="shared" si="23"/>
        <v>Medium</v>
      </c>
      <c r="P500" t="str">
        <f>_xlfn.XLOOKUP(Table1[[#This Row],[Customer ID]],customers!$A$1:$A$1001,customers!$I$1:$I$1001,,0)</f>
        <v>Yes</v>
      </c>
    </row>
    <row r="501" spans="1:16" x14ac:dyDescent="0.3">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6">
        <f>INDEX(products!$A$1:$G$49,MATCH(orders!$D501,products!$A$1:$A$49,0),MATCH(orders!K$1,products!$A$1:$G$1,0))</f>
        <v>0.2</v>
      </c>
      <c r="L501" s="5">
        <f>INDEX(products!$A$1:$G$49,MATCH(orders!$D501,products!$A$1:$A$49,0),MATCH(orders!L$1,products!$A$1:$G$1,0))</f>
        <v>2.6849999999999996</v>
      </c>
      <c r="M501" s="4">
        <f t="shared" si="21"/>
        <v>8.0549999999999997</v>
      </c>
      <c r="N501" t="str">
        <f t="shared" si="22"/>
        <v>Robusta</v>
      </c>
      <c r="O501" t="str">
        <f t="shared" si="23"/>
        <v>Dark</v>
      </c>
      <c r="P501" t="str">
        <f>_xlfn.XLOOKUP(Table1[[#This Row],[Customer ID]],customers!$A$1:$A$1001,customers!$I$1:$I$1001,,0)</f>
        <v>Yes</v>
      </c>
    </row>
    <row r="502" spans="1:16" x14ac:dyDescent="0.3">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6">
        <f>INDEX(products!$A$1:$G$49,MATCH(orders!$D502,products!$A$1:$A$49,0),MATCH(orders!K$1,products!$A$1:$G$1,0))</f>
        <v>1</v>
      </c>
      <c r="L502" s="5">
        <f>INDEX(products!$A$1:$G$49,MATCH(orders!$D502,products!$A$1:$A$49,0),MATCH(orders!L$1,products!$A$1:$G$1,0))</f>
        <v>11.95</v>
      </c>
      <c r="M502" s="4">
        <f t="shared" si="21"/>
        <v>47.8</v>
      </c>
      <c r="N502" t="str">
        <f t="shared" si="22"/>
        <v>Robusta</v>
      </c>
      <c r="O502" t="str">
        <f t="shared" si="23"/>
        <v>Light</v>
      </c>
      <c r="P502" t="str">
        <f>_xlfn.XLOOKUP(Table1[[#This Row],[Customer ID]],customers!$A$1:$A$1001,customers!$I$1:$I$1001,,0)</f>
        <v>No</v>
      </c>
    </row>
    <row r="503" spans="1:16" x14ac:dyDescent="0.3">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6">
        <f>INDEX(products!$A$1:$G$49,MATCH(orders!$D503,products!$A$1:$A$49,0),MATCH(orders!K$1,products!$A$1:$G$1,0))</f>
        <v>0.2</v>
      </c>
      <c r="L503" s="5">
        <f>INDEX(products!$A$1:$G$49,MATCH(orders!$D503,products!$A$1:$A$49,0),MATCH(orders!L$1,products!$A$1:$G$1,0))</f>
        <v>2.9849999999999999</v>
      </c>
      <c r="M503" s="4">
        <f t="shared" si="21"/>
        <v>11.94</v>
      </c>
      <c r="N503" t="str">
        <f t="shared" si="22"/>
        <v>Robusta</v>
      </c>
      <c r="O503" t="str">
        <f t="shared" si="23"/>
        <v>Medium</v>
      </c>
      <c r="P503" t="str">
        <f>_xlfn.XLOOKUP(Table1[[#This Row],[Customer ID]],customers!$A$1:$A$1001,customers!$I$1:$I$1001,,0)</f>
        <v>No</v>
      </c>
    </row>
    <row r="504" spans="1:16" x14ac:dyDescent="0.3">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6">
        <f>INDEX(products!$A$1:$G$49,MATCH(orders!$D504,products!$A$1:$A$49,0),MATCH(orders!K$1,products!$A$1:$G$1,0))</f>
        <v>0.2</v>
      </c>
      <c r="L504" s="5">
        <f>INDEX(products!$A$1:$G$49,MATCH(orders!$D504,products!$A$1:$A$49,0),MATCH(orders!L$1,products!$A$1:$G$1,0))</f>
        <v>4.125</v>
      </c>
      <c r="M504" s="4">
        <f t="shared" si="21"/>
        <v>16.5</v>
      </c>
      <c r="N504" t="str">
        <f t="shared" si="22"/>
        <v>Excelsa</v>
      </c>
      <c r="O504" t="str">
        <f t="shared" si="23"/>
        <v>Medium</v>
      </c>
      <c r="P504" t="str">
        <f>_xlfn.XLOOKUP(Table1[[#This Row],[Customer ID]],customers!$A$1:$A$1001,customers!$I$1:$I$1001,,0)</f>
        <v>No</v>
      </c>
    </row>
    <row r="505" spans="1:16" x14ac:dyDescent="0.3">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6">
        <f>INDEX(products!$A$1:$G$49,MATCH(orders!$D505,products!$A$1:$A$49,0),MATCH(orders!K$1,products!$A$1:$G$1,0))</f>
        <v>1</v>
      </c>
      <c r="L505" s="5">
        <f>INDEX(products!$A$1:$G$49,MATCH(orders!$D505,products!$A$1:$A$49,0),MATCH(orders!L$1,products!$A$1:$G$1,0))</f>
        <v>12.95</v>
      </c>
      <c r="M505" s="4">
        <f t="shared" si="21"/>
        <v>51.8</v>
      </c>
      <c r="N505" t="str">
        <f t="shared" si="22"/>
        <v>Librica</v>
      </c>
      <c r="O505" t="str">
        <f t="shared" si="23"/>
        <v>Dark</v>
      </c>
      <c r="P505" t="str">
        <f>_xlfn.XLOOKUP(Table1[[#This Row],[Customer ID]],customers!$A$1:$A$1001,customers!$I$1:$I$1001,,0)</f>
        <v>No</v>
      </c>
    </row>
    <row r="506" spans="1:16" x14ac:dyDescent="0.3">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6">
        <f>INDEX(products!$A$1:$G$49,MATCH(orders!$D506,products!$A$1:$A$49,0),MATCH(orders!K$1,products!$A$1:$G$1,0))</f>
        <v>0.2</v>
      </c>
      <c r="L506" s="5">
        <f>INDEX(products!$A$1:$G$49,MATCH(orders!$D506,products!$A$1:$A$49,0),MATCH(orders!L$1,products!$A$1:$G$1,0))</f>
        <v>4.7549999999999999</v>
      </c>
      <c r="M506" s="4">
        <f t="shared" si="21"/>
        <v>14.265000000000001</v>
      </c>
      <c r="N506" t="str">
        <f t="shared" si="22"/>
        <v>Librica</v>
      </c>
      <c r="O506" t="str">
        <f t="shared" si="23"/>
        <v>Light</v>
      </c>
      <c r="P506" t="str">
        <f>_xlfn.XLOOKUP(Table1[[#This Row],[Customer ID]],customers!$A$1:$A$1001,customers!$I$1:$I$1001,,0)</f>
        <v>No</v>
      </c>
    </row>
    <row r="507" spans="1:16" x14ac:dyDescent="0.3">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6">
        <f>INDEX(products!$A$1:$G$49,MATCH(orders!$D507,products!$A$1:$A$49,0),MATCH(orders!K$1,products!$A$1:$G$1,0))</f>
        <v>0.2</v>
      </c>
      <c r="L507" s="5">
        <f>INDEX(products!$A$1:$G$49,MATCH(orders!$D507,products!$A$1:$A$49,0),MATCH(orders!L$1,products!$A$1:$G$1,0))</f>
        <v>4.3650000000000002</v>
      </c>
      <c r="M507" s="4">
        <f t="shared" si="21"/>
        <v>26.19</v>
      </c>
      <c r="N507" t="str">
        <f t="shared" si="22"/>
        <v>Librica</v>
      </c>
      <c r="O507" t="str">
        <f t="shared" si="23"/>
        <v>Medium</v>
      </c>
      <c r="P507" t="str">
        <f>_xlfn.XLOOKUP(Table1[[#This Row],[Customer ID]],customers!$A$1:$A$1001,customers!$I$1:$I$1001,,0)</f>
        <v>No</v>
      </c>
    </row>
    <row r="508" spans="1:16" x14ac:dyDescent="0.3">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6">
        <f>INDEX(products!$A$1:$G$49,MATCH(orders!$D508,products!$A$1:$A$49,0),MATCH(orders!K$1,products!$A$1:$G$1,0))</f>
        <v>1</v>
      </c>
      <c r="L508" s="5">
        <f>INDEX(products!$A$1:$G$49,MATCH(orders!$D508,products!$A$1:$A$49,0),MATCH(orders!L$1,products!$A$1:$G$1,0))</f>
        <v>12.95</v>
      </c>
      <c r="M508" s="4">
        <f t="shared" si="21"/>
        <v>25.9</v>
      </c>
      <c r="N508" t="str">
        <f t="shared" si="22"/>
        <v>Arabica</v>
      </c>
      <c r="O508" t="str">
        <f t="shared" si="23"/>
        <v>Light</v>
      </c>
      <c r="P508" t="str">
        <f>_xlfn.XLOOKUP(Table1[[#This Row],[Customer ID]],customers!$A$1:$A$1001,customers!$I$1:$I$1001,,0)</f>
        <v>Yes</v>
      </c>
    </row>
    <row r="509" spans="1:16" x14ac:dyDescent="0.3">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6">
        <f>INDEX(products!$A$1:$G$49,MATCH(orders!$D509,products!$A$1:$A$49,0),MATCH(orders!K$1,products!$A$1:$G$1,0))</f>
        <v>2.5</v>
      </c>
      <c r="L509" s="5">
        <f>INDEX(products!$A$1:$G$49,MATCH(orders!$D509,products!$A$1:$A$49,0),MATCH(orders!L$1,products!$A$1:$G$1,0))</f>
        <v>29.784999999999997</v>
      </c>
      <c r="M509" s="4">
        <f t="shared" si="21"/>
        <v>89.35499999999999</v>
      </c>
      <c r="N509" t="str">
        <f t="shared" si="22"/>
        <v>Arabica</v>
      </c>
      <c r="O509" t="str">
        <f t="shared" si="23"/>
        <v>Light</v>
      </c>
      <c r="P509" t="str">
        <f>_xlfn.XLOOKUP(Table1[[#This Row],[Customer ID]],customers!$A$1:$A$1001,customers!$I$1:$I$1001,,0)</f>
        <v>Yes</v>
      </c>
    </row>
    <row r="510" spans="1:16" x14ac:dyDescent="0.3">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6">
        <f>INDEX(products!$A$1:$G$49,MATCH(orders!$D510,products!$A$1:$A$49,0),MATCH(orders!K$1,products!$A$1:$G$1,0))</f>
        <v>0.5</v>
      </c>
      <c r="L510" s="5">
        <f>INDEX(products!$A$1:$G$49,MATCH(orders!$D510,products!$A$1:$A$49,0),MATCH(orders!L$1,products!$A$1:$G$1,0))</f>
        <v>7.77</v>
      </c>
      <c r="M510" s="4">
        <f t="shared" si="21"/>
        <v>46.62</v>
      </c>
      <c r="N510" t="str">
        <f t="shared" si="22"/>
        <v>Librica</v>
      </c>
      <c r="O510" t="str">
        <f t="shared" si="23"/>
        <v>Dark</v>
      </c>
      <c r="P510" t="str">
        <f>_xlfn.XLOOKUP(Table1[[#This Row],[Customer ID]],customers!$A$1:$A$1001,customers!$I$1:$I$1001,,0)</f>
        <v>No</v>
      </c>
    </row>
    <row r="511" spans="1:16" x14ac:dyDescent="0.3">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6">
        <f>INDEX(products!$A$1:$G$49,MATCH(orders!$D511,products!$A$1:$A$49,0),MATCH(orders!K$1,products!$A$1:$G$1,0))</f>
        <v>1</v>
      </c>
      <c r="L511" s="5">
        <f>INDEX(products!$A$1:$G$49,MATCH(orders!$D511,products!$A$1:$A$49,0),MATCH(orders!L$1,products!$A$1:$G$1,0))</f>
        <v>9.9499999999999993</v>
      </c>
      <c r="M511" s="4">
        <f t="shared" si="21"/>
        <v>29.849999999999998</v>
      </c>
      <c r="N511" t="str">
        <f t="shared" si="22"/>
        <v>Arabica</v>
      </c>
      <c r="O511" t="str">
        <f t="shared" si="23"/>
        <v>Dark</v>
      </c>
      <c r="P511" t="str">
        <f>_xlfn.XLOOKUP(Table1[[#This Row],[Customer ID]],customers!$A$1:$A$1001,customers!$I$1:$I$1001,,0)</f>
        <v>Yes</v>
      </c>
    </row>
    <row r="512" spans="1:16" x14ac:dyDescent="0.3">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6">
        <f>INDEX(products!$A$1:$G$49,MATCH(orders!$D512,products!$A$1:$A$49,0),MATCH(orders!K$1,products!$A$1:$G$1,0))</f>
        <v>0.2</v>
      </c>
      <c r="L512" s="5">
        <f>INDEX(products!$A$1:$G$49,MATCH(orders!$D512,products!$A$1:$A$49,0),MATCH(orders!L$1,products!$A$1:$G$1,0))</f>
        <v>3.5849999999999995</v>
      </c>
      <c r="M512" s="4">
        <f t="shared" si="21"/>
        <v>10.754999999999999</v>
      </c>
      <c r="N512" t="str">
        <f t="shared" si="22"/>
        <v>Robusta</v>
      </c>
      <c r="O512" t="str">
        <f t="shared" si="23"/>
        <v>Light</v>
      </c>
      <c r="P512" t="str">
        <f>_xlfn.XLOOKUP(Table1[[#This Row],[Customer ID]],customers!$A$1:$A$1001,customers!$I$1:$I$1001,,0)</f>
        <v>Yes</v>
      </c>
    </row>
    <row r="513" spans="1:16" x14ac:dyDescent="0.3">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6">
        <f>INDEX(products!$A$1:$G$49,MATCH(orders!$D513,products!$A$1:$A$49,0),MATCH(orders!K$1,products!$A$1:$G$1,0))</f>
        <v>0.2</v>
      </c>
      <c r="L513" s="5">
        <f>INDEX(products!$A$1:$G$49,MATCH(orders!$D513,products!$A$1:$A$49,0),MATCH(orders!L$1,products!$A$1:$G$1,0))</f>
        <v>3.375</v>
      </c>
      <c r="M513" s="4">
        <f t="shared" si="21"/>
        <v>13.5</v>
      </c>
      <c r="N513" t="str">
        <f t="shared" si="22"/>
        <v>Arabica</v>
      </c>
      <c r="O513" t="str">
        <f t="shared" si="23"/>
        <v>Medium</v>
      </c>
      <c r="P513" t="str">
        <f>_xlfn.XLOOKUP(Table1[[#This Row],[Customer ID]],customers!$A$1:$A$1001,customers!$I$1:$I$1001,,0)</f>
        <v>Yes</v>
      </c>
    </row>
    <row r="514" spans="1:16" x14ac:dyDescent="0.3">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6">
        <f>INDEX(products!$A$1:$G$49,MATCH(orders!$D514,products!$A$1:$A$49,0),MATCH(orders!K$1,products!$A$1:$G$1,0))</f>
        <v>1</v>
      </c>
      <c r="L514" s="5">
        <f>INDEX(products!$A$1:$G$49,MATCH(orders!$D514,products!$A$1:$A$49,0),MATCH(orders!L$1,products!$A$1:$G$1,0))</f>
        <v>15.85</v>
      </c>
      <c r="M514" s="4">
        <f t="shared" si="21"/>
        <v>47.55</v>
      </c>
      <c r="N514" t="str">
        <f t="shared" si="22"/>
        <v>Librica</v>
      </c>
      <c r="O514" t="str">
        <f t="shared" si="23"/>
        <v>Light</v>
      </c>
      <c r="P514" t="str">
        <f>_xlfn.XLOOKUP(Table1[[#This Row],[Customer ID]],customers!$A$1:$A$1001,customers!$I$1:$I$1001,,0)</f>
        <v>No</v>
      </c>
    </row>
    <row r="515" spans="1:16" x14ac:dyDescent="0.3">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6">
        <f>INDEX(products!$A$1:$G$49,MATCH(orders!$D515,products!$A$1:$A$49,0),MATCH(orders!K$1,products!$A$1:$G$1,0))</f>
        <v>1</v>
      </c>
      <c r="L515" s="5">
        <f>INDEX(products!$A$1:$G$49,MATCH(orders!$D515,products!$A$1:$A$49,0),MATCH(orders!L$1,products!$A$1:$G$1,0))</f>
        <v>15.85</v>
      </c>
      <c r="M515" s="4">
        <f t="shared" ref="M515:M578" si="24">L515*E515</f>
        <v>79.25</v>
      </c>
      <c r="N515" t="str">
        <f t="shared" ref="N515:N578" si="25">IF(I515="Rob","Robusta",IF(I515="Exc","Excelsa",IF(I515="Ara","Arabica",IF(I515="Lib","Librica",""))))</f>
        <v>Librica</v>
      </c>
      <c r="O515" t="str">
        <f t="shared" ref="O515:O578" si="26">IF(J515="M","Medium",IF(J515="L","Light",IF(J515="D","Dark","")))</f>
        <v>Light</v>
      </c>
      <c r="P515" t="str">
        <f>_xlfn.XLOOKUP(Table1[[#This Row],[Customer ID]],customers!$A$1:$A$1001,customers!$I$1:$I$1001,,0)</f>
        <v>No</v>
      </c>
    </row>
    <row r="516" spans="1:16" x14ac:dyDescent="0.3">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6">
        <f>INDEX(products!$A$1:$G$49,MATCH(orders!$D516,products!$A$1:$A$49,0),MATCH(orders!K$1,products!$A$1:$G$1,0))</f>
        <v>0.2</v>
      </c>
      <c r="L516" s="5">
        <f>INDEX(products!$A$1:$G$49,MATCH(orders!$D516,products!$A$1:$A$49,0),MATCH(orders!L$1,products!$A$1:$G$1,0))</f>
        <v>4.3650000000000002</v>
      </c>
      <c r="M516" s="4">
        <f t="shared" si="24"/>
        <v>26.19</v>
      </c>
      <c r="N516" t="str">
        <f t="shared" si="25"/>
        <v>Librica</v>
      </c>
      <c r="O516" t="str">
        <f t="shared" si="26"/>
        <v>Medium</v>
      </c>
      <c r="P516" t="str">
        <f>_xlfn.XLOOKUP(Table1[[#This Row],[Customer ID]],customers!$A$1:$A$1001,customers!$I$1:$I$1001,,0)</f>
        <v>Yes</v>
      </c>
    </row>
    <row r="517" spans="1:16" x14ac:dyDescent="0.3">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6">
        <f>INDEX(products!$A$1:$G$49,MATCH(orders!$D517,products!$A$1:$A$49,0),MATCH(orders!K$1,products!$A$1:$G$1,0))</f>
        <v>0.5</v>
      </c>
      <c r="L517" s="5">
        <f>INDEX(products!$A$1:$G$49,MATCH(orders!$D517,products!$A$1:$A$49,0),MATCH(orders!L$1,products!$A$1:$G$1,0))</f>
        <v>7.169999999999999</v>
      </c>
      <c r="M517" s="4">
        <f t="shared" si="24"/>
        <v>21.509999999999998</v>
      </c>
      <c r="N517" t="str">
        <f t="shared" si="25"/>
        <v>Robusta</v>
      </c>
      <c r="O517" t="str">
        <f t="shared" si="26"/>
        <v>Light</v>
      </c>
      <c r="P517" t="str">
        <f>_xlfn.XLOOKUP(Table1[[#This Row],[Customer ID]],customers!$A$1:$A$1001,customers!$I$1:$I$1001,,0)</f>
        <v>No</v>
      </c>
    </row>
    <row r="518" spans="1:16" x14ac:dyDescent="0.3">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6">
        <f>INDEX(products!$A$1:$G$49,MATCH(orders!$D518,products!$A$1:$A$49,0),MATCH(orders!K$1,products!$A$1:$G$1,0))</f>
        <v>2.5</v>
      </c>
      <c r="L518" s="5">
        <f>INDEX(products!$A$1:$G$49,MATCH(orders!$D518,products!$A$1:$A$49,0),MATCH(orders!L$1,products!$A$1:$G$1,0))</f>
        <v>20.584999999999997</v>
      </c>
      <c r="M518" s="4">
        <f t="shared" si="24"/>
        <v>102.92499999999998</v>
      </c>
      <c r="N518" t="str">
        <f t="shared" si="25"/>
        <v>Robusta</v>
      </c>
      <c r="O518" t="str">
        <f t="shared" si="26"/>
        <v>Dark</v>
      </c>
      <c r="P518" t="str">
        <f>_xlfn.XLOOKUP(Table1[[#This Row],[Customer ID]],customers!$A$1:$A$1001,customers!$I$1:$I$1001,,0)</f>
        <v>Yes</v>
      </c>
    </row>
    <row r="519" spans="1:16" x14ac:dyDescent="0.3">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6">
        <f>INDEX(products!$A$1:$G$49,MATCH(orders!$D519,products!$A$1:$A$49,0),MATCH(orders!K$1,products!$A$1:$G$1,0))</f>
        <v>0.2</v>
      </c>
      <c r="L519" s="5">
        <f>INDEX(products!$A$1:$G$49,MATCH(orders!$D519,products!$A$1:$A$49,0),MATCH(orders!L$1,products!$A$1:$G$1,0))</f>
        <v>3.8849999999999998</v>
      </c>
      <c r="M519" s="4">
        <f t="shared" si="24"/>
        <v>7.77</v>
      </c>
      <c r="N519" t="str">
        <f t="shared" si="25"/>
        <v>Librica</v>
      </c>
      <c r="O519" t="str">
        <f t="shared" si="26"/>
        <v>Dark</v>
      </c>
      <c r="P519" t="str">
        <f>_xlfn.XLOOKUP(Table1[[#This Row],[Customer ID]],customers!$A$1:$A$1001,customers!$I$1:$I$1001,,0)</f>
        <v>No</v>
      </c>
    </row>
    <row r="520" spans="1:16" x14ac:dyDescent="0.3">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6">
        <f>INDEX(products!$A$1:$G$49,MATCH(orders!$D520,products!$A$1:$A$49,0),MATCH(orders!K$1,products!$A$1:$G$1,0))</f>
        <v>2.5</v>
      </c>
      <c r="L520" s="5">
        <f>INDEX(products!$A$1:$G$49,MATCH(orders!$D520,products!$A$1:$A$49,0),MATCH(orders!L$1,products!$A$1:$G$1,0))</f>
        <v>27.945</v>
      </c>
      <c r="M520" s="4">
        <f t="shared" si="24"/>
        <v>139.72499999999999</v>
      </c>
      <c r="N520" t="str">
        <f t="shared" si="25"/>
        <v>Excelsa</v>
      </c>
      <c r="O520" t="str">
        <f t="shared" si="26"/>
        <v>Dark</v>
      </c>
      <c r="P520" t="str">
        <f>_xlfn.XLOOKUP(Table1[[#This Row],[Customer ID]],customers!$A$1:$A$1001,customers!$I$1:$I$1001,,0)</f>
        <v>No</v>
      </c>
    </row>
    <row r="521" spans="1:16" x14ac:dyDescent="0.3">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6">
        <f>INDEX(products!$A$1:$G$49,MATCH(orders!$D521,products!$A$1:$A$49,0),MATCH(orders!K$1,products!$A$1:$G$1,0))</f>
        <v>0.5</v>
      </c>
      <c r="L521" s="5">
        <f>INDEX(products!$A$1:$G$49,MATCH(orders!$D521,products!$A$1:$A$49,0),MATCH(orders!L$1,products!$A$1:$G$1,0))</f>
        <v>5.97</v>
      </c>
      <c r="M521" s="4">
        <f t="shared" si="24"/>
        <v>11.94</v>
      </c>
      <c r="N521" t="str">
        <f t="shared" si="25"/>
        <v>Arabica</v>
      </c>
      <c r="O521" t="str">
        <f t="shared" si="26"/>
        <v>Dark</v>
      </c>
      <c r="P521" t="str">
        <f>_xlfn.XLOOKUP(Table1[[#This Row],[Customer ID]],customers!$A$1:$A$1001,customers!$I$1:$I$1001,,0)</f>
        <v>Yes</v>
      </c>
    </row>
    <row r="522" spans="1:16" x14ac:dyDescent="0.3">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6">
        <f>INDEX(products!$A$1:$G$49,MATCH(orders!$D522,products!$A$1:$A$49,0),MATCH(orders!K$1,products!$A$1:$G$1,0))</f>
        <v>0.2</v>
      </c>
      <c r="L522" s="5">
        <f>INDEX(products!$A$1:$G$49,MATCH(orders!$D522,products!$A$1:$A$49,0),MATCH(orders!L$1,products!$A$1:$G$1,0))</f>
        <v>3.8849999999999998</v>
      </c>
      <c r="M522" s="4">
        <f t="shared" si="24"/>
        <v>3.8849999999999998</v>
      </c>
      <c r="N522" t="str">
        <f t="shared" si="25"/>
        <v>Librica</v>
      </c>
      <c r="O522" t="str">
        <f t="shared" si="26"/>
        <v>Dark</v>
      </c>
      <c r="P522" t="str">
        <f>_xlfn.XLOOKUP(Table1[[#This Row],[Customer ID]],customers!$A$1:$A$1001,customers!$I$1:$I$1001,,0)</f>
        <v>No</v>
      </c>
    </row>
    <row r="523" spans="1:16" x14ac:dyDescent="0.3">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6">
        <f>INDEX(products!$A$1:$G$49,MATCH(orders!$D523,products!$A$1:$A$49,0),MATCH(orders!K$1,products!$A$1:$G$1,0))</f>
        <v>1</v>
      </c>
      <c r="L523" s="5">
        <f>INDEX(products!$A$1:$G$49,MATCH(orders!$D523,products!$A$1:$A$49,0),MATCH(orders!L$1,products!$A$1:$G$1,0))</f>
        <v>9.9499999999999993</v>
      </c>
      <c r="M523" s="4">
        <f t="shared" si="24"/>
        <v>39.799999999999997</v>
      </c>
      <c r="N523" t="str">
        <f t="shared" si="25"/>
        <v>Robusta</v>
      </c>
      <c r="O523" t="str">
        <f t="shared" si="26"/>
        <v>Medium</v>
      </c>
      <c r="P523" t="str">
        <f>_xlfn.XLOOKUP(Table1[[#This Row],[Customer ID]],customers!$A$1:$A$1001,customers!$I$1:$I$1001,,0)</f>
        <v>No</v>
      </c>
    </row>
    <row r="524" spans="1:16" x14ac:dyDescent="0.3">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6">
        <f>INDEX(products!$A$1:$G$49,MATCH(orders!$D524,products!$A$1:$A$49,0),MATCH(orders!K$1,products!$A$1:$G$1,0))</f>
        <v>0.5</v>
      </c>
      <c r="L524" s="5">
        <f>INDEX(products!$A$1:$G$49,MATCH(orders!$D524,products!$A$1:$A$49,0),MATCH(orders!L$1,products!$A$1:$G$1,0))</f>
        <v>5.97</v>
      </c>
      <c r="M524" s="4">
        <f t="shared" si="24"/>
        <v>29.849999999999998</v>
      </c>
      <c r="N524" t="str">
        <f t="shared" si="25"/>
        <v>Robusta</v>
      </c>
      <c r="O524" t="str">
        <f t="shared" si="26"/>
        <v>Medium</v>
      </c>
      <c r="P524" t="str">
        <f>_xlfn.XLOOKUP(Table1[[#This Row],[Customer ID]],customers!$A$1:$A$1001,customers!$I$1:$I$1001,,0)</f>
        <v>No</v>
      </c>
    </row>
    <row r="525" spans="1:16" x14ac:dyDescent="0.3">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6">
        <f>INDEX(products!$A$1:$G$49,MATCH(orders!$D525,products!$A$1:$A$49,0),MATCH(orders!K$1,products!$A$1:$G$1,0))</f>
        <v>2.5</v>
      </c>
      <c r="L525" s="5">
        <f>INDEX(products!$A$1:$G$49,MATCH(orders!$D525,products!$A$1:$A$49,0),MATCH(orders!L$1,products!$A$1:$G$1,0))</f>
        <v>29.784999999999997</v>
      </c>
      <c r="M525" s="4">
        <f t="shared" si="24"/>
        <v>29.784999999999997</v>
      </c>
      <c r="N525" t="str">
        <f t="shared" si="25"/>
        <v>Librica</v>
      </c>
      <c r="O525" t="str">
        <f t="shared" si="26"/>
        <v>Dark</v>
      </c>
      <c r="P525" t="str">
        <f>_xlfn.XLOOKUP(Table1[[#This Row],[Customer ID]],customers!$A$1:$A$1001,customers!$I$1:$I$1001,,0)</f>
        <v>No</v>
      </c>
    </row>
    <row r="526" spans="1:16" x14ac:dyDescent="0.3">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6">
        <f>INDEX(products!$A$1:$G$49,MATCH(orders!$D526,products!$A$1:$A$49,0),MATCH(orders!K$1,products!$A$1:$G$1,0))</f>
        <v>2.5</v>
      </c>
      <c r="L526" s="5">
        <f>INDEX(products!$A$1:$G$49,MATCH(orders!$D526,products!$A$1:$A$49,0),MATCH(orders!L$1,products!$A$1:$G$1,0))</f>
        <v>36.454999999999998</v>
      </c>
      <c r="M526" s="4">
        <f t="shared" si="24"/>
        <v>72.91</v>
      </c>
      <c r="N526" t="str">
        <f t="shared" si="25"/>
        <v>Librica</v>
      </c>
      <c r="O526" t="str">
        <f t="shared" si="26"/>
        <v>Light</v>
      </c>
      <c r="P526" t="str">
        <f>_xlfn.XLOOKUP(Table1[[#This Row],[Customer ID]],customers!$A$1:$A$1001,customers!$I$1:$I$1001,,0)</f>
        <v>No</v>
      </c>
    </row>
    <row r="527" spans="1:16" x14ac:dyDescent="0.3">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6">
        <f>INDEX(products!$A$1:$G$49,MATCH(orders!$D527,products!$A$1:$A$49,0),MATCH(orders!K$1,products!$A$1:$G$1,0))</f>
        <v>0.2</v>
      </c>
      <c r="L527" s="5">
        <f>INDEX(products!$A$1:$G$49,MATCH(orders!$D527,products!$A$1:$A$49,0),MATCH(orders!L$1,products!$A$1:$G$1,0))</f>
        <v>2.6849999999999996</v>
      </c>
      <c r="M527" s="4">
        <f t="shared" si="24"/>
        <v>13.424999999999997</v>
      </c>
      <c r="N527" t="str">
        <f t="shared" si="25"/>
        <v>Robusta</v>
      </c>
      <c r="O527" t="str">
        <f t="shared" si="26"/>
        <v>Dark</v>
      </c>
      <c r="P527" t="str">
        <f>_xlfn.XLOOKUP(Table1[[#This Row],[Customer ID]],customers!$A$1:$A$1001,customers!$I$1:$I$1001,,0)</f>
        <v>Yes</v>
      </c>
    </row>
    <row r="528" spans="1:16" x14ac:dyDescent="0.3">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6">
        <f>INDEX(products!$A$1:$G$49,MATCH(orders!$D528,products!$A$1:$A$49,0),MATCH(orders!K$1,products!$A$1:$G$1,0))</f>
        <v>2.5</v>
      </c>
      <c r="L528" s="5">
        <f>INDEX(products!$A$1:$G$49,MATCH(orders!$D528,products!$A$1:$A$49,0),MATCH(orders!L$1,products!$A$1:$G$1,0))</f>
        <v>31.624999999999996</v>
      </c>
      <c r="M528" s="4">
        <f t="shared" si="24"/>
        <v>126.49999999999999</v>
      </c>
      <c r="N528" t="str">
        <f t="shared" si="25"/>
        <v>Excelsa</v>
      </c>
      <c r="O528" t="str">
        <f t="shared" si="26"/>
        <v>Medium</v>
      </c>
      <c r="P528" t="str">
        <f>_xlfn.XLOOKUP(Table1[[#This Row],[Customer ID]],customers!$A$1:$A$1001,customers!$I$1:$I$1001,,0)</f>
        <v>Yes</v>
      </c>
    </row>
    <row r="529" spans="1:16" x14ac:dyDescent="0.3">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6">
        <f>INDEX(products!$A$1:$G$49,MATCH(orders!$D529,products!$A$1:$A$49,0),MATCH(orders!K$1,products!$A$1:$G$1,0))</f>
        <v>0.5</v>
      </c>
      <c r="L529" s="5">
        <f>INDEX(products!$A$1:$G$49,MATCH(orders!$D529,products!$A$1:$A$49,0),MATCH(orders!L$1,products!$A$1:$G$1,0))</f>
        <v>8.25</v>
      </c>
      <c r="M529" s="4">
        <f t="shared" si="24"/>
        <v>41.25</v>
      </c>
      <c r="N529" t="str">
        <f t="shared" si="25"/>
        <v>Excelsa</v>
      </c>
      <c r="O529" t="str">
        <f t="shared" si="26"/>
        <v>Medium</v>
      </c>
      <c r="P529" t="str">
        <f>_xlfn.XLOOKUP(Table1[[#This Row],[Customer ID]],customers!$A$1:$A$1001,customers!$I$1:$I$1001,,0)</f>
        <v>No</v>
      </c>
    </row>
    <row r="530" spans="1:16" x14ac:dyDescent="0.3">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6">
        <f>INDEX(products!$A$1:$G$49,MATCH(orders!$D530,products!$A$1:$A$49,0),MATCH(orders!K$1,products!$A$1:$G$1,0))</f>
        <v>0.5</v>
      </c>
      <c r="L530" s="5">
        <f>INDEX(products!$A$1:$G$49,MATCH(orders!$D530,products!$A$1:$A$49,0),MATCH(orders!L$1,products!$A$1:$G$1,0))</f>
        <v>8.91</v>
      </c>
      <c r="M530" s="4">
        <f t="shared" si="24"/>
        <v>53.46</v>
      </c>
      <c r="N530" t="str">
        <f t="shared" si="25"/>
        <v>Excelsa</v>
      </c>
      <c r="O530" t="str">
        <f t="shared" si="26"/>
        <v>Light</v>
      </c>
      <c r="P530" t="str">
        <f>_xlfn.XLOOKUP(Table1[[#This Row],[Customer ID]],customers!$A$1:$A$1001,customers!$I$1:$I$1001,,0)</f>
        <v>No</v>
      </c>
    </row>
    <row r="531" spans="1:16" x14ac:dyDescent="0.3">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6">
        <f>INDEX(products!$A$1:$G$49,MATCH(orders!$D531,products!$A$1:$A$49,0),MATCH(orders!K$1,products!$A$1:$G$1,0))</f>
        <v>1</v>
      </c>
      <c r="L531" s="5">
        <f>INDEX(products!$A$1:$G$49,MATCH(orders!$D531,products!$A$1:$A$49,0),MATCH(orders!L$1,products!$A$1:$G$1,0))</f>
        <v>9.9499999999999993</v>
      </c>
      <c r="M531" s="4">
        <f t="shared" si="24"/>
        <v>59.699999999999996</v>
      </c>
      <c r="N531" t="str">
        <f t="shared" si="25"/>
        <v>Robusta</v>
      </c>
      <c r="O531" t="str">
        <f t="shared" si="26"/>
        <v>Medium</v>
      </c>
      <c r="P531" t="str">
        <f>_xlfn.XLOOKUP(Table1[[#This Row],[Customer ID]],customers!$A$1:$A$1001,customers!$I$1:$I$1001,,0)</f>
        <v>No</v>
      </c>
    </row>
    <row r="532" spans="1:16" x14ac:dyDescent="0.3">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6">
        <f>INDEX(products!$A$1:$G$49,MATCH(orders!$D532,products!$A$1:$A$49,0),MATCH(orders!K$1,products!$A$1:$G$1,0))</f>
        <v>1</v>
      </c>
      <c r="L532" s="5">
        <f>INDEX(products!$A$1:$G$49,MATCH(orders!$D532,products!$A$1:$A$49,0),MATCH(orders!L$1,products!$A$1:$G$1,0))</f>
        <v>9.9499999999999993</v>
      </c>
      <c r="M532" s="4">
        <f t="shared" si="24"/>
        <v>59.699999999999996</v>
      </c>
      <c r="N532" t="str">
        <f t="shared" si="25"/>
        <v>Robusta</v>
      </c>
      <c r="O532" t="str">
        <f t="shared" si="26"/>
        <v>Medium</v>
      </c>
      <c r="P532" t="str">
        <f>_xlfn.XLOOKUP(Table1[[#This Row],[Customer ID]],customers!$A$1:$A$1001,customers!$I$1:$I$1001,,0)</f>
        <v>No</v>
      </c>
    </row>
    <row r="533" spans="1:16" x14ac:dyDescent="0.3">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6">
        <f>INDEX(products!$A$1:$G$49,MATCH(orders!$D533,products!$A$1:$A$49,0),MATCH(orders!K$1,products!$A$1:$G$1,0))</f>
        <v>1</v>
      </c>
      <c r="L533" s="5">
        <f>INDEX(products!$A$1:$G$49,MATCH(orders!$D533,products!$A$1:$A$49,0),MATCH(orders!L$1,products!$A$1:$G$1,0))</f>
        <v>8.9499999999999993</v>
      </c>
      <c r="M533" s="4">
        <f t="shared" si="24"/>
        <v>44.75</v>
      </c>
      <c r="N533" t="str">
        <f t="shared" si="25"/>
        <v>Robusta</v>
      </c>
      <c r="O533" t="str">
        <f t="shared" si="26"/>
        <v>Dark</v>
      </c>
      <c r="P533" t="str">
        <f>_xlfn.XLOOKUP(Table1[[#This Row],[Customer ID]],customers!$A$1:$A$1001,customers!$I$1:$I$1001,,0)</f>
        <v>No</v>
      </c>
    </row>
    <row r="534" spans="1:16" x14ac:dyDescent="0.3">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6">
        <f>INDEX(products!$A$1:$G$49,MATCH(orders!$D534,products!$A$1:$A$49,0),MATCH(orders!K$1,products!$A$1:$G$1,0))</f>
        <v>0.5</v>
      </c>
      <c r="L534" s="5">
        <f>INDEX(products!$A$1:$G$49,MATCH(orders!$D534,products!$A$1:$A$49,0),MATCH(orders!L$1,products!$A$1:$G$1,0))</f>
        <v>8.25</v>
      </c>
      <c r="M534" s="4">
        <f t="shared" si="24"/>
        <v>16.5</v>
      </c>
      <c r="N534" t="str">
        <f t="shared" si="25"/>
        <v>Excelsa</v>
      </c>
      <c r="O534" t="str">
        <f t="shared" si="26"/>
        <v>Medium</v>
      </c>
      <c r="P534" t="str">
        <f>_xlfn.XLOOKUP(Table1[[#This Row],[Customer ID]],customers!$A$1:$A$1001,customers!$I$1:$I$1001,,0)</f>
        <v>Yes</v>
      </c>
    </row>
    <row r="535" spans="1:16" x14ac:dyDescent="0.3">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6">
        <f>INDEX(products!$A$1:$G$49,MATCH(orders!$D535,products!$A$1:$A$49,0),MATCH(orders!K$1,products!$A$1:$G$1,0))</f>
        <v>0.5</v>
      </c>
      <c r="L535" s="5">
        <f>INDEX(products!$A$1:$G$49,MATCH(orders!$D535,products!$A$1:$A$49,0),MATCH(orders!L$1,products!$A$1:$G$1,0))</f>
        <v>5.3699999999999992</v>
      </c>
      <c r="M535" s="4">
        <f t="shared" si="24"/>
        <v>21.479999999999997</v>
      </c>
      <c r="N535" t="str">
        <f t="shared" si="25"/>
        <v>Robusta</v>
      </c>
      <c r="O535" t="str">
        <f t="shared" si="26"/>
        <v>Dark</v>
      </c>
      <c r="P535" t="str">
        <f>_xlfn.XLOOKUP(Table1[[#This Row],[Customer ID]],customers!$A$1:$A$1001,customers!$I$1:$I$1001,,0)</f>
        <v>No</v>
      </c>
    </row>
    <row r="536" spans="1:16" x14ac:dyDescent="0.3">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6">
        <f>INDEX(products!$A$1:$G$49,MATCH(orders!$D536,products!$A$1:$A$49,0),MATCH(orders!K$1,products!$A$1:$G$1,0))</f>
        <v>2.5</v>
      </c>
      <c r="L536" s="5">
        <f>INDEX(products!$A$1:$G$49,MATCH(orders!$D536,products!$A$1:$A$49,0),MATCH(orders!L$1,products!$A$1:$G$1,0))</f>
        <v>22.884999999999998</v>
      </c>
      <c r="M536" s="4">
        <f t="shared" si="24"/>
        <v>45.769999999999996</v>
      </c>
      <c r="N536" t="str">
        <f t="shared" si="25"/>
        <v>Robusta</v>
      </c>
      <c r="O536" t="str">
        <f t="shared" si="26"/>
        <v>Medium</v>
      </c>
      <c r="P536" t="str">
        <f>_xlfn.XLOOKUP(Table1[[#This Row],[Customer ID]],customers!$A$1:$A$1001,customers!$I$1:$I$1001,,0)</f>
        <v>Yes</v>
      </c>
    </row>
    <row r="537" spans="1:16" x14ac:dyDescent="0.3">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6">
        <f>INDEX(products!$A$1:$G$49,MATCH(orders!$D537,products!$A$1:$A$49,0),MATCH(orders!K$1,products!$A$1:$G$1,0))</f>
        <v>0.2</v>
      </c>
      <c r="L537" s="5">
        <f>INDEX(products!$A$1:$G$49,MATCH(orders!$D537,products!$A$1:$A$49,0),MATCH(orders!L$1,products!$A$1:$G$1,0))</f>
        <v>4.7549999999999999</v>
      </c>
      <c r="M537" s="4">
        <f t="shared" si="24"/>
        <v>9.51</v>
      </c>
      <c r="N537" t="str">
        <f t="shared" si="25"/>
        <v>Librica</v>
      </c>
      <c r="O537" t="str">
        <f t="shared" si="26"/>
        <v>Light</v>
      </c>
      <c r="P537" t="str">
        <f>_xlfn.XLOOKUP(Table1[[#This Row],[Customer ID]],customers!$A$1:$A$1001,customers!$I$1:$I$1001,,0)</f>
        <v>No</v>
      </c>
    </row>
    <row r="538" spans="1:16" x14ac:dyDescent="0.3">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6">
        <f>INDEX(products!$A$1:$G$49,MATCH(orders!$D538,products!$A$1:$A$49,0),MATCH(orders!K$1,products!$A$1:$G$1,0))</f>
        <v>0.2</v>
      </c>
      <c r="L538" s="5">
        <f>INDEX(products!$A$1:$G$49,MATCH(orders!$D538,products!$A$1:$A$49,0),MATCH(orders!L$1,products!$A$1:$G$1,0))</f>
        <v>2.6849999999999996</v>
      </c>
      <c r="M538" s="4">
        <f t="shared" si="24"/>
        <v>8.0549999999999997</v>
      </c>
      <c r="N538" t="str">
        <f t="shared" si="25"/>
        <v>Robusta</v>
      </c>
      <c r="O538" t="str">
        <f t="shared" si="26"/>
        <v>Dark</v>
      </c>
      <c r="P538" t="str">
        <f>_xlfn.XLOOKUP(Table1[[#This Row],[Customer ID]],customers!$A$1:$A$1001,customers!$I$1:$I$1001,,0)</f>
        <v>Yes</v>
      </c>
    </row>
    <row r="539" spans="1:16" x14ac:dyDescent="0.3">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6">
        <f>INDEX(products!$A$1:$G$49,MATCH(orders!$D539,products!$A$1:$A$49,0),MATCH(orders!K$1,products!$A$1:$G$1,0))</f>
        <v>2.5</v>
      </c>
      <c r="L539" s="5">
        <f>INDEX(products!$A$1:$G$49,MATCH(orders!$D539,products!$A$1:$A$49,0),MATCH(orders!L$1,products!$A$1:$G$1,0))</f>
        <v>27.945</v>
      </c>
      <c r="M539" s="4">
        <f t="shared" si="24"/>
        <v>111.78</v>
      </c>
      <c r="N539" t="str">
        <f t="shared" si="25"/>
        <v>Excelsa</v>
      </c>
      <c r="O539" t="str">
        <f t="shared" si="26"/>
        <v>Dark</v>
      </c>
      <c r="P539" t="str">
        <f>_xlfn.XLOOKUP(Table1[[#This Row],[Customer ID]],customers!$A$1:$A$1001,customers!$I$1:$I$1001,,0)</f>
        <v>Yes</v>
      </c>
    </row>
    <row r="540" spans="1:16" x14ac:dyDescent="0.3">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6">
        <f>INDEX(products!$A$1:$G$49,MATCH(orders!$D540,products!$A$1:$A$49,0),MATCH(orders!K$1,products!$A$1:$G$1,0))</f>
        <v>0.2</v>
      </c>
      <c r="L540" s="5">
        <f>INDEX(products!$A$1:$G$49,MATCH(orders!$D540,products!$A$1:$A$49,0),MATCH(orders!L$1,products!$A$1:$G$1,0))</f>
        <v>2.6849999999999996</v>
      </c>
      <c r="M540" s="4">
        <f t="shared" si="24"/>
        <v>10.739999999999998</v>
      </c>
      <c r="N540" t="str">
        <f t="shared" si="25"/>
        <v>Robusta</v>
      </c>
      <c r="O540" t="str">
        <f t="shared" si="26"/>
        <v>Dark</v>
      </c>
      <c r="P540" t="str">
        <f>_xlfn.XLOOKUP(Table1[[#This Row],[Customer ID]],customers!$A$1:$A$1001,customers!$I$1:$I$1001,,0)</f>
        <v>Yes</v>
      </c>
    </row>
    <row r="541" spans="1:16" x14ac:dyDescent="0.3">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6">
        <f>INDEX(products!$A$1:$G$49,MATCH(orders!$D541,products!$A$1:$A$49,0),MATCH(orders!K$1,products!$A$1:$G$1,0))</f>
        <v>0.5</v>
      </c>
      <c r="L541" s="5">
        <f>INDEX(products!$A$1:$G$49,MATCH(orders!$D541,products!$A$1:$A$49,0),MATCH(orders!L$1,products!$A$1:$G$1,0))</f>
        <v>5.3699999999999992</v>
      </c>
      <c r="M541" s="4">
        <f t="shared" si="24"/>
        <v>26.849999999999994</v>
      </c>
      <c r="N541" t="str">
        <f t="shared" si="25"/>
        <v>Robusta</v>
      </c>
      <c r="O541" t="str">
        <f t="shared" si="26"/>
        <v>Dark</v>
      </c>
      <c r="P541" t="str">
        <f>_xlfn.XLOOKUP(Table1[[#This Row],[Customer ID]],customers!$A$1:$A$1001,customers!$I$1:$I$1001,,0)</f>
        <v>No</v>
      </c>
    </row>
    <row r="542" spans="1:16" x14ac:dyDescent="0.3">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6">
        <f>INDEX(products!$A$1:$G$49,MATCH(orders!$D542,products!$A$1:$A$49,0),MATCH(orders!K$1,products!$A$1:$G$1,0))</f>
        <v>1</v>
      </c>
      <c r="L542" s="5">
        <f>INDEX(products!$A$1:$G$49,MATCH(orders!$D542,products!$A$1:$A$49,0),MATCH(orders!L$1,products!$A$1:$G$1,0))</f>
        <v>15.85</v>
      </c>
      <c r="M542" s="4">
        <f t="shared" si="24"/>
        <v>63.4</v>
      </c>
      <c r="N542" t="str">
        <f t="shared" si="25"/>
        <v>Librica</v>
      </c>
      <c r="O542" t="str">
        <f t="shared" si="26"/>
        <v>Light</v>
      </c>
      <c r="P542" t="str">
        <f>_xlfn.XLOOKUP(Table1[[#This Row],[Customer ID]],customers!$A$1:$A$1001,customers!$I$1:$I$1001,,0)</f>
        <v>Yes</v>
      </c>
    </row>
    <row r="543" spans="1:16" x14ac:dyDescent="0.3">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6">
        <f>INDEX(products!$A$1:$G$49,MATCH(orders!$D543,products!$A$1:$A$49,0),MATCH(orders!K$1,products!$A$1:$G$1,0))</f>
        <v>2.5</v>
      </c>
      <c r="L543" s="5">
        <f>INDEX(products!$A$1:$G$49,MATCH(orders!$D543,products!$A$1:$A$49,0),MATCH(orders!L$1,products!$A$1:$G$1,0))</f>
        <v>22.884999999999998</v>
      </c>
      <c r="M543" s="4">
        <f t="shared" si="24"/>
        <v>22.884999999999998</v>
      </c>
      <c r="N543" t="str">
        <f t="shared" si="25"/>
        <v>Arabica</v>
      </c>
      <c r="O543" t="str">
        <f t="shared" si="26"/>
        <v>Dark</v>
      </c>
      <c r="P543" t="str">
        <f>_xlfn.XLOOKUP(Table1[[#This Row],[Customer ID]],customers!$A$1:$A$1001,customers!$I$1:$I$1001,,0)</f>
        <v>Yes</v>
      </c>
    </row>
    <row r="544" spans="1:16" x14ac:dyDescent="0.3">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6">
        <f>INDEX(products!$A$1:$G$49,MATCH(orders!$D544,products!$A$1:$A$49,0),MATCH(orders!K$1,products!$A$1:$G$1,0))</f>
        <v>2.5</v>
      </c>
      <c r="L544" s="5">
        <f>INDEX(products!$A$1:$G$49,MATCH(orders!$D544,products!$A$1:$A$49,0),MATCH(orders!L$1,products!$A$1:$G$1,0))</f>
        <v>25.874999999999996</v>
      </c>
      <c r="M544" s="4">
        <f t="shared" si="24"/>
        <v>103.49999999999999</v>
      </c>
      <c r="N544" t="str">
        <f t="shared" si="25"/>
        <v>Arabica</v>
      </c>
      <c r="O544" t="str">
        <f t="shared" si="26"/>
        <v>Medium</v>
      </c>
      <c r="P544" t="str">
        <f>_xlfn.XLOOKUP(Table1[[#This Row],[Customer ID]],customers!$A$1:$A$1001,customers!$I$1:$I$1001,,0)</f>
        <v>No</v>
      </c>
    </row>
    <row r="545" spans="1:16" x14ac:dyDescent="0.3">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6">
        <f>INDEX(products!$A$1:$G$49,MATCH(orders!$D545,products!$A$1:$A$49,0),MATCH(orders!K$1,products!$A$1:$G$1,0))</f>
        <v>2.5</v>
      </c>
      <c r="L545" s="5">
        <f>INDEX(products!$A$1:$G$49,MATCH(orders!$D545,products!$A$1:$A$49,0),MATCH(orders!L$1,products!$A$1:$G$1,0))</f>
        <v>27.484999999999996</v>
      </c>
      <c r="M545" s="4">
        <f t="shared" si="24"/>
        <v>54.969999999999992</v>
      </c>
      <c r="N545" t="str">
        <f t="shared" si="25"/>
        <v>Robusta</v>
      </c>
      <c r="O545" t="str">
        <f t="shared" si="26"/>
        <v>Light</v>
      </c>
      <c r="P545" t="str">
        <f>_xlfn.XLOOKUP(Table1[[#This Row],[Customer ID]],customers!$A$1:$A$1001,customers!$I$1:$I$1001,,0)</f>
        <v>No</v>
      </c>
    </row>
    <row r="546" spans="1:16" x14ac:dyDescent="0.3">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6">
        <f>INDEX(products!$A$1:$G$49,MATCH(orders!$D546,products!$A$1:$A$49,0),MATCH(orders!K$1,products!$A$1:$G$1,0))</f>
        <v>0.5</v>
      </c>
      <c r="L546" s="5">
        <f>INDEX(products!$A$1:$G$49,MATCH(orders!$D546,products!$A$1:$A$49,0),MATCH(orders!L$1,products!$A$1:$G$1,0))</f>
        <v>7.77</v>
      </c>
      <c r="M546" s="4">
        <f t="shared" si="24"/>
        <v>15.54</v>
      </c>
      <c r="N546" t="str">
        <f t="shared" si="25"/>
        <v>Arabica</v>
      </c>
      <c r="O546" t="str">
        <f t="shared" si="26"/>
        <v>Light</v>
      </c>
      <c r="P546" t="str">
        <f>_xlfn.XLOOKUP(Table1[[#This Row],[Customer ID]],customers!$A$1:$A$1001,customers!$I$1:$I$1001,,0)</f>
        <v>No</v>
      </c>
    </row>
    <row r="547" spans="1:16" x14ac:dyDescent="0.3">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6">
        <f>INDEX(products!$A$1:$G$49,MATCH(orders!$D547,products!$A$1:$A$49,0),MATCH(orders!K$1,products!$A$1:$G$1,0))</f>
        <v>0.2</v>
      </c>
      <c r="L547" s="5">
        <f>INDEX(products!$A$1:$G$49,MATCH(orders!$D547,products!$A$1:$A$49,0),MATCH(orders!L$1,products!$A$1:$G$1,0))</f>
        <v>3.8849999999999998</v>
      </c>
      <c r="M547" s="4">
        <f t="shared" si="24"/>
        <v>15.54</v>
      </c>
      <c r="N547" t="str">
        <f t="shared" si="25"/>
        <v>Librica</v>
      </c>
      <c r="O547" t="str">
        <f t="shared" si="26"/>
        <v>Dark</v>
      </c>
      <c r="P547" t="str">
        <f>_xlfn.XLOOKUP(Table1[[#This Row],[Customer ID]],customers!$A$1:$A$1001,customers!$I$1:$I$1001,,0)</f>
        <v>No</v>
      </c>
    </row>
    <row r="548" spans="1:16" x14ac:dyDescent="0.3">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6">
        <f>INDEX(products!$A$1:$G$49,MATCH(orders!$D548,products!$A$1:$A$49,0),MATCH(orders!K$1,products!$A$1:$G$1,0))</f>
        <v>2.5</v>
      </c>
      <c r="L548" s="5">
        <f>INDEX(products!$A$1:$G$49,MATCH(orders!$D548,products!$A$1:$A$49,0),MATCH(orders!L$1,products!$A$1:$G$1,0))</f>
        <v>27.945</v>
      </c>
      <c r="M548" s="4">
        <f t="shared" si="24"/>
        <v>83.835000000000008</v>
      </c>
      <c r="N548" t="str">
        <f t="shared" si="25"/>
        <v>Excelsa</v>
      </c>
      <c r="O548" t="str">
        <f t="shared" si="26"/>
        <v>Dark</v>
      </c>
      <c r="P548" t="str">
        <f>_xlfn.XLOOKUP(Table1[[#This Row],[Customer ID]],customers!$A$1:$A$1001,customers!$I$1:$I$1001,,0)</f>
        <v>No</v>
      </c>
    </row>
    <row r="549" spans="1:16" x14ac:dyDescent="0.3">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6">
        <f>INDEX(products!$A$1:$G$49,MATCH(orders!$D549,products!$A$1:$A$49,0),MATCH(orders!K$1,products!$A$1:$G$1,0))</f>
        <v>0.2</v>
      </c>
      <c r="L549" s="5">
        <f>INDEX(products!$A$1:$G$49,MATCH(orders!$D549,products!$A$1:$A$49,0),MATCH(orders!L$1,products!$A$1:$G$1,0))</f>
        <v>3.5849999999999995</v>
      </c>
      <c r="M549" s="4">
        <f t="shared" si="24"/>
        <v>10.754999999999999</v>
      </c>
      <c r="N549" t="str">
        <f t="shared" si="25"/>
        <v>Robusta</v>
      </c>
      <c r="O549" t="str">
        <f t="shared" si="26"/>
        <v>Light</v>
      </c>
      <c r="P549" t="str">
        <f>_xlfn.XLOOKUP(Table1[[#This Row],[Customer ID]],customers!$A$1:$A$1001,customers!$I$1:$I$1001,,0)</f>
        <v>Yes</v>
      </c>
    </row>
    <row r="550" spans="1:16" x14ac:dyDescent="0.3">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6">
        <f>INDEX(products!$A$1:$G$49,MATCH(orders!$D550,products!$A$1:$A$49,0),MATCH(orders!K$1,products!$A$1:$G$1,0))</f>
        <v>0.2</v>
      </c>
      <c r="L550" s="5">
        <f>INDEX(products!$A$1:$G$49,MATCH(orders!$D550,products!$A$1:$A$49,0),MATCH(orders!L$1,products!$A$1:$G$1,0))</f>
        <v>4.4550000000000001</v>
      </c>
      <c r="M550" s="4">
        <f t="shared" si="24"/>
        <v>13.365</v>
      </c>
      <c r="N550" t="str">
        <f t="shared" si="25"/>
        <v>Excelsa</v>
      </c>
      <c r="O550" t="str">
        <f t="shared" si="26"/>
        <v>Light</v>
      </c>
      <c r="P550" t="str">
        <f>_xlfn.XLOOKUP(Table1[[#This Row],[Customer ID]],customers!$A$1:$A$1001,customers!$I$1:$I$1001,,0)</f>
        <v>Yes</v>
      </c>
    </row>
    <row r="551" spans="1:16" x14ac:dyDescent="0.3">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6">
        <f>INDEX(products!$A$1:$G$49,MATCH(orders!$D551,products!$A$1:$A$49,0),MATCH(orders!K$1,products!$A$1:$G$1,0))</f>
        <v>0.2</v>
      </c>
      <c r="L551" s="5">
        <f>INDEX(products!$A$1:$G$49,MATCH(orders!$D551,products!$A$1:$A$49,0),MATCH(orders!L$1,products!$A$1:$G$1,0))</f>
        <v>4.4550000000000001</v>
      </c>
      <c r="M551" s="4">
        <f t="shared" si="24"/>
        <v>17.82</v>
      </c>
      <c r="N551" t="str">
        <f t="shared" si="25"/>
        <v>Excelsa</v>
      </c>
      <c r="O551" t="str">
        <f t="shared" si="26"/>
        <v>Light</v>
      </c>
      <c r="P551" t="str">
        <f>_xlfn.XLOOKUP(Table1[[#This Row],[Customer ID]],customers!$A$1:$A$1001,customers!$I$1:$I$1001,,0)</f>
        <v>Yes</v>
      </c>
    </row>
    <row r="552" spans="1:16" x14ac:dyDescent="0.3">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6">
        <f>INDEX(products!$A$1:$G$49,MATCH(orders!$D552,products!$A$1:$A$49,0),MATCH(orders!K$1,products!$A$1:$G$1,0))</f>
        <v>0.2</v>
      </c>
      <c r="L552" s="5">
        <f>INDEX(products!$A$1:$G$49,MATCH(orders!$D552,products!$A$1:$A$49,0),MATCH(orders!L$1,products!$A$1:$G$1,0))</f>
        <v>3.8849999999999998</v>
      </c>
      <c r="M552" s="4">
        <f t="shared" si="24"/>
        <v>23.31</v>
      </c>
      <c r="N552" t="str">
        <f t="shared" si="25"/>
        <v>Librica</v>
      </c>
      <c r="O552" t="str">
        <f t="shared" si="26"/>
        <v>Dark</v>
      </c>
      <c r="P552" t="str">
        <f>_xlfn.XLOOKUP(Table1[[#This Row],[Customer ID]],customers!$A$1:$A$1001,customers!$I$1:$I$1001,,0)</f>
        <v>Yes</v>
      </c>
    </row>
    <row r="553" spans="1:16" x14ac:dyDescent="0.3">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6">
        <f>INDEX(products!$A$1:$G$49,MATCH(orders!$D553,products!$A$1:$A$49,0),MATCH(orders!K$1,products!$A$1:$G$1,0))</f>
        <v>0.2</v>
      </c>
      <c r="L553" s="5">
        <f>INDEX(products!$A$1:$G$49,MATCH(orders!$D553,products!$A$1:$A$49,0),MATCH(orders!L$1,products!$A$1:$G$1,0))</f>
        <v>3.645</v>
      </c>
      <c r="M553" s="4">
        <f t="shared" si="24"/>
        <v>7.29</v>
      </c>
      <c r="N553" t="str">
        <f t="shared" si="25"/>
        <v>Excelsa</v>
      </c>
      <c r="O553" t="str">
        <f t="shared" si="26"/>
        <v>Dark</v>
      </c>
      <c r="P553" t="str">
        <f>_xlfn.XLOOKUP(Table1[[#This Row],[Customer ID]],customers!$A$1:$A$1001,customers!$I$1:$I$1001,,0)</f>
        <v>No</v>
      </c>
    </row>
    <row r="554" spans="1:16" x14ac:dyDescent="0.3">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6">
        <f>INDEX(products!$A$1:$G$49,MATCH(orders!$D554,products!$A$1:$A$49,0),MATCH(orders!K$1,products!$A$1:$G$1,0))</f>
        <v>0.2</v>
      </c>
      <c r="L554" s="5">
        <f>INDEX(products!$A$1:$G$49,MATCH(orders!$D554,products!$A$1:$A$49,0),MATCH(orders!L$1,products!$A$1:$G$1,0))</f>
        <v>4.4550000000000001</v>
      </c>
      <c r="M554" s="4">
        <f t="shared" si="24"/>
        <v>17.82</v>
      </c>
      <c r="N554" t="str">
        <f t="shared" si="25"/>
        <v>Excelsa</v>
      </c>
      <c r="O554" t="str">
        <f t="shared" si="26"/>
        <v>Light</v>
      </c>
      <c r="P554" t="str">
        <f>_xlfn.XLOOKUP(Table1[[#This Row],[Customer ID]],customers!$A$1:$A$1001,customers!$I$1:$I$1001,,0)</f>
        <v>Yes</v>
      </c>
    </row>
    <row r="555" spans="1:16" x14ac:dyDescent="0.3">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6">
        <f>INDEX(products!$A$1:$G$49,MATCH(orders!$D555,products!$A$1:$A$49,0),MATCH(orders!K$1,products!$A$1:$G$1,0))</f>
        <v>1</v>
      </c>
      <c r="L555" s="5">
        <f>INDEX(products!$A$1:$G$49,MATCH(orders!$D555,products!$A$1:$A$49,0),MATCH(orders!L$1,products!$A$1:$G$1,0))</f>
        <v>13.75</v>
      </c>
      <c r="M555" s="4">
        <f t="shared" si="24"/>
        <v>68.75</v>
      </c>
      <c r="N555" t="str">
        <f t="shared" si="25"/>
        <v>Excelsa</v>
      </c>
      <c r="O555" t="str">
        <f t="shared" si="26"/>
        <v>Medium</v>
      </c>
      <c r="P555" t="str">
        <f>_xlfn.XLOOKUP(Table1[[#This Row],[Customer ID]],customers!$A$1:$A$1001,customers!$I$1:$I$1001,,0)</f>
        <v>No</v>
      </c>
    </row>
    <row r="556" spans="1:16" x14ac:dyDescent="0.3">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6">
        <f>INDEX(products!$A$1:$G$49,MATCH(orders!$D556,products!$A$1:$A$49,0),MATCH(orders!K$1,products!$A$1:$G$1,0))</f>
        <v>2.5</v>
      </c>
      <c r="L556" s="5">
        <f>INDEX(products!$A$1:$G$49,MATCH(orders!$D556,products!$A$1:$A$49,0),MATCH(orders!L$1,products!$A$1:$G$1,0))</f>
        <v>27.484999999999996</v>
      </c>
      <c r="M556" s="4">
        <f t="shared" si="24"/>
        <v>54.969999999999992</v>
      </c>
      <c r="N556" t="str">
        <f t="shared" si="25"/>
        <v>Robusta</v>
      </c>
      <c r="O556" t="str">
        <f t="shared" si="26"/>
        <v>Light</v>
      </c>
      <c r="P556" t="str">
        <f>_xlfn.XLOOKUP(Table1[[#This Row],[Customer ID]],customers!$A$1:$A$1001,customers!$I$1:$I$1001,,0)</f>
        <v>Yes</v>
      </c>
    </row>
    <row r="557" spans="1:16" x14ac:dyDescent="0.3">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6">
        <f>INDEX(products!$A$1:$G$49,MATCH(orders!$D557,products!$A$1:$A$49,0),MATCH(orders!K$1,products!$A$1:$G$1,0))</f>
        <v>1</v>
      </c>
      <c r="L557" s="5">
        <f>INDEX(products!$A$1:$G$49,MATCH(orders!$D557,products!$A$1:$A$49,0),MATCH(orders!L$1,products!$A$1:$G$1,0))</f>
        <v>13.75</v>
      </c>
      <c r="M557" s="4">
        <f t="shared" si="24"/>
        <v>82.5</v>
      </c>
      <c r="N557" t="str">
        <f t="shared" si="25"/>
        <v>Excelsa</v>
      </c>
      <c r="O557" t="str">
        <f t="shared" si="26"/>
        <v>Medium</v>
      </c>
      <c r="P557" t="str">
        <f>_xlfn.XLOOKUP(Table1[[#This Row],[Customer ID]],customers!$A$1:$A$1001,customers!$I$1:$I$1001,,0)</f>
        <v>No</v>
      </c>
    </row>
    <row r="558" spans="1:16" x14ac:dyDescent="0.3">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6">
        <f>INDEX(products!$A$1:$G$49,MATCH(orders!$D558,products!$A$1:$A$49,0),MATCH(orders!K$1,products!$A$1:$G$1,0))</f>
        <v>0.2</v>
      </c>
      <c r="L558" s="5">
        <f>INDEX(products!$A$1:$G$49,MATCH(orders!$D558,products!$A$1:$A$49,0),MATCH(orders!L$1,products!$A$1:$G$1,0))</f>
        <v>4.3650000000000002</v>
      </c>
      <c r="M558" s="4">
        <f t="shared" si="24"/>
        <v>8.73</v>
      </c>
      <c r="N558" t="str">
        <f t="shared" si="25"/>
        <v>Librica</v>
      </c>
      <c r="O558" t="str">
        <f t="shared" si="26"/>
        <v>Medium</v>
      </c>
      <c r="P558" t="str">
        <f>_xlfn.XLOOKUP(Table1[[#This Row],[Customer ID]],customers!$A$1:$A$1001,customers!$I$1:$I$1001,,0)</f>
        <v>Yes</v>
      </c>
    </row>
    <row r="559" spans="1:16" x14ac:dyDescent="0.3">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6">
        <f>INDEX(products!$A$1:$G$49,MATCH(orders!$D559,products!$A$1:$A$49,0),MATCH(orders!K$1,products!$A$1:$G$1,0))</f>
        <v>1</v>
      </c>
      <c r="L559" s="5">
        <f>INDEX(products!$A$1:$G$49,MATCH(orders!$D559,products!$A$1:$A$49,0),MATCH(orders!L$1,products!$A$1:$G$1,0))</f>
        <v>14.85</v>
      </c>
      <c r="M559" s="4">
        <f t="shared" si="24"/>
        <v>59.4</v>
      </c>
      <c r="N559" t="str">
        <f t="shared" si="25"/>
        <v>Excelsa</v>
      </c>
      <c r="O559" t="str">
        <f t="shared" si="26"/>
        <v>Light</v>
      </c>
      <c r="P559" t="str">
        <f>_xlfn.XLOOKUP(Table1[[#This Row],[Customer ID]],customers!$A$1:$A$1001,customers!$I$1:$I$1001,,0)</f>
        <v>Yes</v>
      </c>
    </row>
    <row r="560" spans="1:16" x14ac:dyDescent="0.3">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6">
        <f>INDEX(products!$A$1:$G$49,MATCH(orders!$D560,products!$A$1:$A$49,0),MATCH(orders!K$1,products!$A$1:$G$1,0))</f>
        <v>0.2</v>
      </c>
      <c r="L560" s="5">
        <f>INDEX(products!$A$1:$G$49,MATCH(orders!$D560,products!$A$1:$A$49,0),MATCH(orders!L$1,products!$A$1:$G$1,0))</f>
        <v>3.8849999999999998</v>
      </c>
      <c r="M560" s="4">
        <f t="shared" si="24"/>
        <v>15.54</v>
      </c>
      <c r="N560" t="str">
        <f t="shared" si="25"/>
        <v>Librica</v>
      </c>
      <c r="O560" t="str">
        <f t="shared" si="26"/>
        <v>Dark</v>
      </c>
      <c r="P560" t="str">
        <f>_xlfn.XLOOKUP(Table1[[#This Row],[Customer ID]],customers!$A$1:$A$1001,customers!$I$1:$I$1001,,0)</f>
        <v>Yes</v>
      </c>
    </row>
    <row r="561" spans="1:16" x14ac:dyDescent="0.3">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6">
        <f>INDEX(products!$A$1:$G$49,MATCH(orders!$D561,products!$A$1:$A$49,0),MATCH(orders!K$1,products!$A$1:$G$1,0))</f>
        <v>1</v>
      </c>
      <c r="L561" s="5">
        <f>INDEX(products!$A$1:$G$49,MATCH(orders!$D561,products!$A$1:$A$49,0),MATCH(orders!L$1,products!$A$1:$G$1,0))</f>
        <v>12.95</v>
      </c>
      <c r="M561" s="4">
        <f t="shared" si="24"/>
        <v>38.849999999999994</v>
      </c>
      <c r="N561" t="str">
        <f t="shared" si="25"/>
        <v>Arabica</v>
      </c>
      <c r="O561" t="str">
        <f t="shared" si="26"/>
        <v>Light</v>
      </c>
      <c r="P561" t="str">
        <f>_xlfn.XLOOKUP(Table1[[#This Row],[Customer ID]],customers!$A$1:$A$1001,customers!$I$1:$I$1001,,0)</f>
        <v>Yes</v>
      </c>
    </row>
    <row r="562" spans="1:16" x14ac:dyDescent="0.3">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6">
        <f>INDEX(products!$A$1:$G$49,MATCH(orders!$D562,products!$A$1:$A$49,0),MATCH(orders!K$1,products!$A$1:$G$1,0))</f>
        <v>2.5</v>
      </c>
      <c r="L562" s="5">
        <f>INDEX(products!$A$1:$G$49,MATCH(orders!$D562,products!$A$1:$A$49,0),MATCH(orders!L$1,products!$A$1:$G$1,0))</f>
        <v>31.624999999999996</v>
      </c>
      <c r="M562" s="4">
        <f t="shared" si="24"/>
        <v>189.74999999999997</v>
      </c>
      <c r="N562" t="str">
        <f t="shared" si="25"/>
        <v>Excelsa</v>
      </c>
      <c r="O562" t="str">
        <f t="shared" si="26"/>
        <v>Medium</v>
      </c>
      <c r="P562" t="str">
        <f>_xlfn.XLOOKUP(Table1[[#This Row],[Customer ID]],customers!$A$1:$A$1001,customers!$I$1:$I$1001,,0)</f>
        <v>Yes</v>
      </c>
    </row>
    <row r="563" spans="1:16" x14ac:dyDescent="0.3">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6">
        <f>INDEX(products!$A$1:$G$49,MATCH(orders!$D563,products!$A$1:$A$49,0),MATCH(orders!K$1,products!$A$1:$G$1,0))</f>
        <v>0.2</v>
      </c>
      <c r="L563" s="5">
        <f>INDEX(products!$A$1:$G$49,MATCH(orders!$D563,products!$A$1:$A$49,0),MATCH(orders!L$1,products!$A$1:$G$1,0))</f>
        <v>2.9849999999999999</v>
      </c>
      <c r="M563" s="4">
        <f t="shared" si="24"/>
        <v>17.91</v>
      </c>
      <c r="N563" t="str">
        <f t="shared" si="25"/>
        <v>Arabica</v>
      </c>
      <c r="O563" t="str">
        <f t="shared" si="26"/>
        <v>Dark</v>
      </c>
      <c r="P563" t="str">
        <f>_xlfn.XLOOKUP(Table1[[#This Row],[Customer ID]],customers!$A$1:$A$1001,customers!$I$1:$I$1001,,0)</f>
        <v>Yes</v>
      </c>
    </row>
    <row r="564" spans="1:16" x14ac:dyDescent="0.3">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6">
        <f>INDEX(products!$A$1:$G$49,MATCH(orders!$D564,products!$A$1:$A$49,0),MATCH(orders!K$1,products!$A$1:$G$1,0))</f>
        <v>0.2</v>
      </c>
      <c r="L564" s="5">
        <f>INDEX(products!$A$1:$G$49,MATCH(orders!$D564,products!$A$1:$A$49,0),MATCH(orders!L$1,products!$A$1:$G$1,0))</f>
        <v>4.7549999999999999</v>
      </c>
      <c r="M564" s="4">
        <f t="shared" si="24"/>
        <v>28.53</v>
      </c>
      <c r="N564" t="str">
        <f t="shared" si="25"/>
        <v>Librica</v>
      </c>
      <c r="O564" t="str">
        <f t="shared" si="26"/>
        <v>Light</v>
      </c>
      <c r="P564" t="str">
        <f>_xlfn.XLOOKUP(Table1[[#This Row],[Customer ID]],customers!$A$1:$A$1001,customers!$I$1:$I$1001,,0)</f>
        <v>No</v>
      </c>
    </row>
    <row r="565" spans="1:16" x14ac:dyDescent="0.3">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6">
        <f>INDEX(products!$A$1:$G$49,MATCH(orders!$D565,products!$A$1:$A$49,0),MATCH(orders!K$1,products!$A$1:$G$1,0))</f>
        <v>1</v>
      </c>
      <c r="L565" s="5">
        <f>INDEX(products!$A$1:$G$49,MATCH(orders!$D565,products!$A$1:$A$49,0),MATCH(orders!L$1,products!$A$1:$G$1,0))</f>
        <v>13.75</v>
      </c>
      <c r="M565" s="4">
        <f t="shared" si="24"/>
        <v>82.5</v>
      </c>
      <c r="N565" t="str">
        <f t="shared" si="25"/>
        <v>Excelsa</v>
      </c>
      <c r="O565" t="str">
        <f t="shared" si="26"/>
        <v>Medium</v>
      </c>
      <c r="P565" t="str">
        <f>_xlfn.XLOOKUP(Table1[[#This Row],[Customer ID]],customers!$A$1:$A$1001,customers!$I$1:$I$1001,,0)</f>
        <v>No</v>
      </c>
    </row>
    <row r="566" spans="1:16" x14ac:dyDescent="0.3">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6">
        <f>INDEX(products!$A$1:$G$49,MATCH(orders!$D566,products!$A$1:$A$49,0),MATCH(orders!K$1,products!$A$1:$G$1,0))</f>
        <v>0.5</v>
      </c>
      <c r="L566" s="5">
        <f>INDEX(products!$A$1:$G$49,MATCH(orders!$D566,products!$A$1:$A$49,0),MATCH(orders!L$1,products!$A$1:$G$1,0))</f>
        <v>7.169999999999999</v>
      </c>
      <c r="M566" s="4">
        <f t="shared" si="24"/>
        <v>14.339999999999998</v>
      </c>
      <c r="N566" t="str">
        <f t="shared" si="25"/>
        <v>Robusta</v>
      </c>
      <c r="O566" t="str">
        <f t="shared" si="26"/>
        <v>Light</v>
      </c>
      <c r="P566" t="str">
        <f>_xlfn.XLOOKUP(Table1[[#This Row],[Customer ID]],customers!$A$1:$A$1001,customers!$I$1:$I$1001,,0)</f>
        <v>No</v>
      </c>
    </row>
    <row r="567" spans="1:16" x14ac:dyDescent="0.3">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6">
        <f>INDEX(products!$A$1:$G$49,MATCH(orders!$D567,products!$A$1:$A$49,0),MATCH(orders!K$1,products!$A$1:$G$1,0))</f>
        <v>2.5</v>
      </c>
      <c r="L567" s="5">
        <f>INDEX(products!$A$1:$G$49,MATCH(orders!$D567,products!$A$1:$A$49,0),MATCH(orders!L$1,products!$A$1:$G$1,0))</f>
        <v>20.584999999999997</v>
      </c>
      <c r="M567" s="4">
        <f t="shared" si="24"/>
        <v>82.339999999999989</v>
      </c>
      <c r="N567" t="str">
        <f t="shared" si="25"/>
        <v>Robusta</v>
      </c>
      <c r="O567" t="str">
        <f t="shared" si="26"/>
        <v>Dark</v>
      </c>
      <c r="P567" t="str">
        <f>_xlfn.XLOOKUP(Table1[[#This Row],[Customer ID]],customers!$A$1:$A$1001,customers!$I$1:$I$1001,,0)</f>
        <v>No</v>
      </c>
    </row>
    <row r="568" spans="1:16" x14ac:dyDescent="0.3">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6">
        <f>INDEX(products!$A$1:$G$49,MATCH(orders!$D568,products!$A$1:$A$49,0),MATCH(orders!K$1,products!$A$1:$G$1,0))</f>
        <v>0.2</v>
      </c>
      <c r="L568" s="5">
        <f>INDEX(products!$A$1:$G$49,MATCH(orders!$D568,products!$A$1:$A$49,0),MATCH(orders!L$1,products!$A$1:$G$1,0))</f>
        <v>3.375</v>
      </c>
      <c r="M568" s="4">
        <f t="shared" si="24"/>
        <v>20.25</v>
      </c>
      <c r="N568" t="str">
        <f t="shared" si="25"/>
        <v>Arabica</v>
      </c>
      <c r="O568" t="str">
        <f t="shared" si="26"/>
        <v>Medium</v>
      </c>
      <c r="P568" t="str">
        <f>_xlfn.XLOOKUP(Table1[[#This Row],[Customer ID]],customers!$A$1:$A$1001,customers!$I$1:$I$1001,,0)</f>
        <v>Yes</v>
      </c>
    </row>
    <row r="569" spans="1:16" x14ac:dyDescent="0.3">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6">
        <f>INDEX(products!$A$1:$G$49,MATCH(orders!$D569,products!$A$1:$A$49,0),MATCH(orders!K$1,products!$A$1:$G$1,0))</f>
        <v>2.5</v>
      </c>
      <c r="L569" s="5">
        <f>INDEX(products!$A$1:$G$49,MATCH(orders!$D569,products!$A$1:$A$49,0),MATCH(orders!L$1,products!$A$1:$G$1,0))</f>
        <v>27.484999999999996</v>
      </c>
      <c r="M569" s="4">
        <f t="shared" si="24"/>
        <v>164.90999999999997</v>
      </c>
      <c r="N569" t="str">
        <f t="shared" si="25"/>
        <v>Robusta</v>
      </c>
      <c r="O569" t="str">
        <f t="shared" si="26"/>
        <v>Light</v>
      </c>
      <c r="P569" t="str">
        <f>_xlfn.XLOOKUP(Table1[[#This Row],[Customer ID]],customers!$A$1:$A$1001,customers!$I$1:$I$1001,,0)</f>
        <v>No</v>
      </c>
    </row>
    <row r="570" spans="1:16" x14ac:dyDescent="0.3">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6">
        <f>INDEX(products!$A$1:$G$49,MATCH(orders!$D570,products!$A$1:$A$49,0),MATCH(orders!K$1,products!$A$1:$G$1,0))</f>
        <v>0.2</v>
      </c>
      <c r="L570" s="5">
        <f>INDEX(products!$A$1:$G$49,MATCH(orders!$D570,products!$A$1:$A$49,0),MATCH(orders!L$1,products!$A$1:$G$1,0))</f>
        <v>4.7549999999999999</v>
      </c>
      <c r="M570" s="4">
        <f t="shared" si="24"/>
        <v>19.02</v>
      </c>
      <c r="N570" t="str">
        <f t="shared" si="25"/>
        <v>Librica</v>
      </c>
      <c r="O570" t="str">
        <f t="shared" si="26"/>
        <v>Light</v>
      </c>
      <c r="P570" t="str">
        <f>_xlfn.XLOOKUP(Table1[[#This Row],[Customer ID]],customers!$A$1:$A$1001,customers!$I$1:$I$1001,,0)</f>
        <v>Yes</v>
      </c>
    </row>
    <row r="571" spans="1:16" x14ac:dyDescent="0.3">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6">
        <f>INDEX(products!$A$1:$G$49,MATCH(orders!$D571,products!$A$1:$A$49,0),MATCH(orders!K$1,products!$A$1:$G$1,0))</f>
        <v>2.5</v>
      </c>
      <c r="L571" s="5">
        <f>INDEX(products!$A$1:$G$49,MATCH(orders!$D571,products!$A$1:$A$49,0),MATCH(orders!L$1,products!$A$1:$G$1,0))</f>
        <v>22.884999999999998</v>
      </c>
      <c r="M571" s="4">
        <f t="shared" si="24"/>
        <v>137.31</v>
      </c>
      <c r="N571" t="str">
        <f t="shared" si="25"/>
        <v>Arabica</v>
      </c>
      <c r="O571" t="str">
        <f t="shared" si="26"/>
        <v>Dark</v>
      </c>
      <c r="P571" t="str">
        <f>_xlfn.XLOOKUP(Table1[[#This Row],[Customer ID]],customers!$A$1:$A$1001,customers!$I$1:$I$1001,,0)</f>
        <v>No</v>
      </c>
    </row>
    <row r="572" spans="1:16" x14ac:dyDescent="0.3">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6">
        <f>INDEX(products!$A$1:$G$49,MATCH(orders!$D572,products!$A$1:$A$49,0),MATCH(orders!K$1,products!$A$1:$G$1,0))</f>
        <v>0.5</v>
      </c>
      <c r="L572" s="5">
        <f>INDEX(products!$A$1:$G$49,MATCH(orders!$D572,products!$A$1:$A$49,0),MATCH(orders!L$1,products!$A$1:$G$1,0))</f>
        <v>6.75</v>
      </c>
      <c r="M572" s="4">
        <f t="shared" si="24"/>
        <v>27</v>
      </c>
      <c r="N572" t="str">
        <f t="shared" si="25"/>
        <v>Arabica</v>
      </c>
      <c r="O572" t="str">
        <f t="shared" si="26"/>
        <v>Medium</v>
      </c>
      <c r="P572" t="str">
        <f>_xlfn.XLOOKUP(Table1[[#This Row],[Customer ID]],customers!$A$1:$A$1001,customers!$I$1:$I$1001,,0)</f>
        <v>No</v>
      </c>
    </row>
    <row r="573" spans="1:16" x14ac:dyDescent="0.3">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6">
        <f>INDEX(products!$A$1:$G$49,MATCH(orders!$D573,products!$A$1:$A$49,0),MATCH(orders!K$1,products!$A$1:$G$1,0))</f>
        <v>0.5</v>
      </c>
      <c r="L573" s="5">
        <f>INDEX(products!$A$1:$G$49,MATCH(orders!$D573,products!$A$1:$A$49,0),MATCH(orders!L$1,products!$A$1:$G$1,0))</f>
        <v>8.91</v>
      </c>
      <c r="M573" s="4">
        <f t="shared" si="24"/>
        <v>35.64</v>
      </c>
      <c r="N573" t="str">
        <f t="shared" si="25"/>
        <v>Excelsa</v>
      </c>
      <c r="O573" t="str">
        <f t="shared" si="26"/>
        <v>Light</v>
      </c>
      <c r="P573" t="str">
        <f>_xlfn.XLOOKUP(Table1[[#This Row],[Customer ID]],customers!$A$1:$A$1001,customers!$I$1:$I$1001,,0)</f>
        <v>No</v>
      </c>
    </row>
    <row r="574" spans="1:16" x14ac:dyDescent="0.3">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6">
        <f>INDEX(products!$A$1:$G$49,MATCH(orders!$D574,products!$A$1:$A$49,0),MATCH(orders!K$1,products!$A$1:$G$1,0))</f>
        <v>0.2</v>
      </c>
      <c r="L574" s="5">
        <f>INDEX(products!$A$1:$G$49,MATCH(orders!$D574,products!$A$1:$A$49,0),MATCH(orders!L$1,products!$A$1:$G$1,0))</f>
        <v>2.9849999999999999</v>
      </c>
      <c r="M574" s="4">
        <f t="shared" si="24"/>
        <v>5.97</v>
      </c>
      <c r="N574" t="str">
        <f t="shared" si="25"/>
        <v>Arabica</v>
      </c>
      <c r="O574" t="str">
        <f t="shared" si="26"/>
        <v>Dark</v>
      </c>
      <c r="P574" t="str">
        <f>_xlfn.XLOOKUP(Table1[[#This Row],[Customer ID]],customers!$A$1:$A$1001,customers!$I$1:$I$1001,,0)</f>
        <v>Yes</v>
      </c>
    </row>
    <row r="575" spans="1:16" x14ac:dyDescent="0.3">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6">
        <f>INDEX(products!$A$1:$G$49,MATCH(orders!$D575,products!$A$1:$A$49,0),MATCH(orders!K$1,products!$A$1:$G$1,0))</f>
        <v>1</v>
      </c>
      <c r="L575" s="5">
        <f>INDEX(products!$A$1:$G$49,MATCH(orders!$D575,products!$A$1:$A$49,0),MATCH(orders!L$1,products!$A$1:$G$1,0))</f>
        <v>11.25</v>
      </c>
      <c r="M575" s="4">
        <f t="shared" si="24"/>
        <v>67.5</v>
      </c>
      <c r="N575" t="str">
        <f t="shared" si="25"/>
        <v>Arabica</v>
      </c>
      <c r="O575" t="str">
        <f t="shared" si="26"/>
        <v>Medium</v>
      </c>
      <c r="P575" t="str">
        <f>_xlfn.XLOOKUP(Table1[[#This Row],[Customer ID]],customers!$A$1:$A$1001,customers!$I$1:$I$1001,,0)</f>
        <v>No</v>
      </c>
    </row>
    <row r="576" spans="1:16" x14ac:dyDescent="0.3">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6">
        <f>INDEX(products!$A$1:$G$49,MATCH(orders!$D576,products!$A$1:$A$49,0),MATCH(orders!K$1,products!$A$1:$G$1,0))</f>
        <v>0.2</v>
      </c>
      <c r="L576" s="5">
        <f>INDEX(products!$A$1:$G$49,MATCH(orders!$D576,products!$A$1:$A$49,0),MATCH(orders!L$1,products!$A$1:$G$1,0))</f>
        <v>3.5849999999999995</v>
      </c>
      <c r="M576" s="4">
        <f t="shared" si="24"/>
        <v>21.509999999999998</v>
      </c>
      <c r="N576" t="str">
        <f t="shared" si="25"/>
        <v>Robusta</v>
      </c>
      <c r="O576" t="str">
        <f t="shared" si="26"/>
        <v>Light</v>
      </c>
      <c r="P576" t="str">
        <f>_xlfn.XLOOKUP(Table1[[#This Row],[Customer ID]],customers!$A$1:$A$1001,customers!$I$1:$I$1001,,0)</f>
        <v>Yes</v>
      </c>
    </row>
    <row r="577" spans="1:16" x14ac:dyDescent="0.3">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6">
        <f>INDEX(products!$A$1:$G$49,MATCH(orders!$D577,products!$A$1:$A$49,0),MATCH(orders!K$1,products!$A$1:$G$1,0))</f>
        <v>2.5</v>
      </c>
      <c r="L577" s="5">
        <f>INDEX(products!$A$1:$G$49,MATCH(orders!$D577,products!$A$1:$A$49,0),MATCH(orders!L$1,products!$A$1:$G$1,0))</f>
        <v>33.464999999999996</v>
      </c>
      <c r="M577" s="4">
        <f t="shared" si="24"/>
        <v>66.929999999999993</v>
      </c>
      <c r="N577" t="str">
        <f t="shared" si="25"/>
        <v>Librica</v>
      </c>
      <c r="O577" t="str">
        <f t="shared" si="26"/>
        <v>Medium</v>
      </c>
      <c r="P577" t="str">
        <f>_xlfn.XLOOKUP(Table1[[#This Row],[Customer ID]],customers!$A$1:$A$1001,customers!$I$1:$I$1001,,0)</f>
        <v>No</v>
      </c>
    </row>
    <row r="578" spans="1:16" x14ac:dyDescent="0.3">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6">
        <f>INDEX(products!$A$1:$G$49,MATCH(orders!$D578,products!$A$1:$A$49,0),MATCH(orders!K$1,products!$A$1:$G$1,0))</f>
        <v>0.2</v>
      </c>
      <c r="L578" s="5">
        <f>INDEX(products!$A$1:$G$49,MATCH(orders!$D578,products!$A$1:$A$49,0),MATCH(orders!L$1,products!$A$1:$G$1,0))</f>
        <v>2.9849999999999999</v>
      </c>
      <c r="M578" s="4">
        <f t="shared" si="24"/>
        <v>17.91</v>
      </c>
      <c r="N578" t="str">
        <f t="shared" si="25"/>
        <v>Arabica</v>
      </c>
      <c r="O578" t="str">
        <f t="shared" si="26"/>
        <v>Dark</v>
      </c>
      <c r="P578" t="str">
        <f>_xlfn.XLOOKUP(Table1[[#This Row],[Customer ID]],customers!$A$1:$A$1001,customers!$I$1:$I$1001,,0)</f>
        <v>No</v>
      </c>
    </row>
    <row r="579" spans="1:16" x14ac:dyDescent="0.3">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6">
        <f>INDEX(products!$A$1:$G$49,MATCH(orders!$D579,products!$A$1:$A$49,0),MATCH(orders!K$1,products!$A$1:$G$1,0))</f>
        <v>1</v>
      </c>
      <c r="L579" s="5">
        <f>INDEX(products!$A$1:$G$49,MATCH(orders!$D579,products!$A$1:$A$49,0),MATCH(orders!L$1,products!$A$1:$G$1,0))</f>
        <v>14.55</v>
      </c>
      <c r="M579" s="4">
        <f t="shared" ref="M579:M642" si="27">L579*E579</f>
        <v>58.2</v>
      </c>
      <c r="N579" t="str">
        <f t="shared" ref="N579:N642" si="28">IF(I579="Rob","Robusta",IF(I579="Exc","Excelsa",IF(I579="Ara","Arabica",IF(I579="Lib","Librica",""))))</f>
        <v>Librica</v>
      </c>
      <c r="O579" t="str">
        <f t="shared" ref="O579:O642" si="29">IF(J579="M","Medium",IF(J579="L","Light",IF(J579="D","Dark","")))</f>
        <v>Medium</v>
      </c>
      <c r="P579" t="str">
        <f>_xlfn.XLOOKUP(Table1[[#This Row],[Customer ID]],customers!$A$1:$A$1001,customers!$I$1:$I$1001,,0)</f>
        <v>No</v>
      </c>
    </row>
    <row r="580" spans="1:16" x14ac:dyDescent="0.3">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6">
        <f>INDEX(products!$A$1:$G$49,MATCH(orders!$D580,products!$A$1:$A$49,0),MATCH(orders!K$1,products!$A$1:$G$1,0))</f>
        <v>0.2</v>
      </c>
      <c r="L580" s="5">
        <f>INDEX(products!$A$1:$G$49,MATCH(orders!$D580,products!$A$1:$A$49,0),MATCH(orders!L$1,products!$A$1:$G$1,0))</f>
        <v>4.4550000000000001</v>
      </c>
      <c r="M580" s="4">
        <f t="shared" si="27"/>
        <v>13.365</v>
      </c>
      <c r="N580" t="str">
        <f t="shared" si="28"/>
        <v>Excelsa</v>
      </c>
      <c r="O580" t="str">
        <f t="shared" si="29"/>
        <v>Light</v>
      </c>
      <c r="P580" t="str">
        <f>_xlfn.XLOOKUP(Table1[[#This Row],[Customer ID]],customers!$A$1:$A$1001,customers!$I$1:$I$1001,,0)</f>
        <v>No</v>
      </c>
    </row>
    <row r="581" spans="1:16" x14ac:dyDescent="0.3">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6">
        <f>INDEX(products!$A$1:$G$49,MATCH(orders!$D581,products!$A$1:$A$49,0),MATCH(orders!K$1,products!$A$1:$G$1,0))</f>
        <v>0.5</v>
      </c>
      <c r="L581" s="5">
        <f>INDEX(products!$A$1:$G$49,MATCH(orders!$D581,products!$A$1:$A$49,0),MATCH(orders!L$1,products!$A$1:$G$1,0))</f>
        <v>6.75</v>
      </c>
      <c r="M581" s="4">
        <f t="shared" si="27"/>
        <v>33.75</v>
      </c>
      <c r="N581" t="str">
        <f t="shared" si="28"/>
        <v>Arabica</v>
      </c>
      <c r="O581" t="str">
        <f t="shared" si="29"/>
        <v>Medium</v>
      </c>
      <c r="P581" t="str">
        <f>_xlfn.XLOOKUP(Table1[[#This Row],[Customer ID]],customers!$A$1:$A$1001,customers!$I$1:$I$1001,,0)</f>
        <v>No</v>
      </c>
    </row>
    <row r="582" spans="1:16" x14ac:dyDescent="0.3">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6">
        <f>INDEX(products!$A$1:$G$49,MATCH(orders!$D582,products!$A$1:$A$49,0),MATCH(orders!K$1,products!$A$1:$G$1,0))</f>
        <v>1</v>
      </c>
      <c r="L582" s="5">
        <f>INDEX(products!$A$1:$G$49,MATCH(orders!$D582,products!$A$1:$A$49,0),MATCH(orders!L$1,products!$A$1:$G$1,0))</f>
        <v>14.85</v>
      </c>
      <c r="M582" s="4">
        <f t="shared" si="27"/>
        <v>44.55</v>
      </c>
      <c r="N582" t="str">
        <f t="shared" si="28"/>
        <v>Excelsa</v>
      </c>
      <c r="O582" t="str">
        <f t="shared" si="29"/>
        <v>Light</v>
      </c>
      <c r="P582" t="str">
        <f>_xlfn.XLOOKUP(Table1[[#This Row],[Customer ID]],customers!$A$1:$A$1001,customers!$I$1:$I$1001,,0)</f>
        <v>Yes</v>
      </c>
    </row>
    <row r="583" spans="1:16" x14ac:dyDescent="0.3">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6">
        <f>INDEX(products!$A$1:$G$49,MATCH(orders!$D583,products!$A$1:$A$49,0),MATCH(orders!K$1,products!$A$1:$G$1,0))</f>
        <v>0.5</v>
      </c>
      <c r="L583" s="5">
        <f>INDEX(products!$A$1:$G$49,MATCH(orders!$D583,products!$A$1:$A$49,0),MATCH(orders!L$1,products!$A$1:$G$1,0))</f>
        <v>8.91</v>
      </c>
      <c r="M583" s="4">
        <f t="shared" si="27"/>
        <v>44.55</v>
      </c>
      <c r="N583" t="str">
        <f t="shared" si="28"/>
        <v>Excelsa</v>
      </c>
      <c r="O583" t="str">
        <f t="shared" si="29"/>
        <v>Light</v>
      </c>
      <c r="P583" t="str">
        <f>_xlfn.XLOOKUP(Table1[[#This Row],[Customer ID]],customers!$A$1:$A$1001,customers!$I$1:$I$1001,,0)</f>
        <v>Yes</v>
      </c>
    </row>
    <row r="584" spans="1:16" x14ac:dyDescent="0.3">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6">
        <f>INDEX(products!$A$1:$G$49,MATCH(orders!$D584,products!$A$1:$A$49,0),MATCH(orders!K$1,products!$A$1:$G$1,0))</f>
        <v>1</v>
      </c>
      <c r="L584" s="5">
        <f>INDEX(products!$A$1:$G$49,MATCH(orders!$D584,products!$A$1:$A$49,0),MATCH(orders!L$1,products!$A$1:$G$1,0))</f>
        <v>12.15</v>
      </c>
      <c r="M584" s="4">
        <f t="shared" si="27"/>
        <v>60.75</v>
      </c>
      <c r="N584" t="str">
        <f t="shared" si="28"/>
        <v>Excelsa</v>
      </c>
      <c r="O584" t="str">
        <f t="shared" si="29"/>
        <v>Dark</v>
      </c>
      <c r="P584" t="str">
        <f>_xlfn.XLOOKUP(Table1[[#This Row],[Customer ID]],customers!$A$1:$A$1001,customers!$I$1:$I$1001,,0)</f>
        <v>No</v>
      </c>
    </row>
    <row r="585" spans="1:16" x14ac:dyDescent="0.3">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6">
        <f>INDEX(products!$A$1:$G$49,MATCH(orders!$D585,products!$A$1:$A$49,0),MATCH(orders!K$1,products!$A$1:$G$1,0))</f>
        <v>0.2</v>
      </c>
      <c r="L585" s="5">
        <f>INDEX(products!$A$1:$G$49,MATCH(orders!$D585,products!$A$1:$A$49,0),MATCH(orders!L$1,products!$A$1:$G$1,0))</f>
        <v>3.5849999999999995</v>
      </c>
      <c r="M585" s="4">
        <f t="shared" si="27"/>
        <v>3.5849999999999995</v>
      </c>
      <c r="N585" t="str">
        <f t="shared" si="28"/>
        <v>Robusta</v>
      </c>
      <c r="O585" t="str">
        <f t="shared" si="29"/>
        <v>Light</v>
      </c>
      <c r="P585" t="str">
        <f>_xlfn.XLOOKUP(Table1[[#This Row],[Customer ID]],customers!$A$1:$A$1001,customers!$I$1:$I$1001,,0)</f>
        <v>Yes</v>
      </c>
    </row>
    <row r="586" spans="1:16" x14ac:dyDescent="0.3">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6">
        <f>INDEX(products!$A$1:$G$49,MATCH(orders!$D586,products!$A$1:$A$49,0),MATCH(orders!K$1,products!$A$1:$G$1,0))</f>
        <v>0.2</v>
      </c>
      <c r="L586" s="5">
        <f>INDEX(products!$A$1:$G$49,MATCH(orders!$D586,products!$A$1:$A$49,0),MATCH(orders!L$1,products!$A$1:$G$1,0))</f>
        <v>3.5849999999999995</v>
      </c>
      <c r="M586" s="4">
        <f t="shared" si="27"/>
        <v>21.509999999999998</v>
      </c>
      <c r="N586" t="str">
        <f t="shared" si="28"/>
        <v>Robusta</v>
      </c>
      <c r="O586" t="str">
        <f t="shared" si="29"/>
        <v>Light</v>
      </c>
      <c r="P586" t="str">
        <f>_xlfn.XLOOKUP(Table1[[#This Row],[Customer ID]],customers!$A$1:$A$1001,customers!$I$1:$I$1001,,0)</f>
        <v>No</v>
      </c>
    </row>
    <row r="587" spans="1:16" x14ac:dyDescent="0.3">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6">
        <f>INDEX(products!$A$1:$G$49,MATCH(orders!$D587,products!$A$1:$A$49,0),MATCH(orders!K$1,products!$A$1:$G$1,0))</f>
        <v>0.5</v>
      </c>
      <c r="L587" s="5">
        <f>INDEX(products!$A$1:$G$49,MATCH(orders!$D587,products!$A$1:$A$49,0),MATCH(orders!L$1,products!$A$1:$G$1,0))</f>
        <v>8.25</v>
      </c>
      <c r="M587" s="4">
        <f t="shared" si="27"/>
        <v>16.5</v>
      </c>
      <c r="N587" t="str">
        <f t="shared" si="28"/>
        <v>Excelsa</v>
      </c>
      <c r="O587" t="str">
        <f t="shared" si="29"/>
        <v>Medium</v>
      </c>
      <c r="P587" t="str">
        <f>_xlfn.XLOOKUP(Table1[[#This Row],[Customer ID]],customers!$A$1:$A$1001,customers!$I$1:$I$1001,,0)</f>
        <v>Yes</v>
      </c>
    </row>
    <row r="588" spans="1:16" x14ac:dyDescent="0.3">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6">
        <f>INDEX(products!$A$1:$G$49,MATCH(orders!$D588,products!$A$1:$A$49,0),MATCH(orders!K$1,products!$A$1:$G$1,0))</f>
        <v>2.5</v>
      </c>
      <c r="L588" s="5">
        <f>INDEX(products!$A$1:$G$49,MATCH(orders!$D588,products!$A$1:$A$49,0),MATCH(orders!L$1,products!$A$1:$G$1,0))</f>
        <v>27.484999999999996</v>
      </c>
      <c r="M588" s="4">
        <f t="shared" si="27"/>
        <v>82.454999999999984</v>
      </c>
      <c r="N588" t="str">
        <f t="shared" si="28"/>
        <v>Robusta</v>
      </c>
      <c r="O588" t="str">
        <f t="shared" si="29"/>
        <v>Light</v>
      </c>
      <c r="P588" t="str">
        <f>_xlfn.XLOOKUP(Table1[[#This Row],[Customer ID]],customers!$A$1:$A$1001,customers!$I$1:$I$1001,,0)</f>
        <v>No</v>
      </c>
    </row>
    <row r="589" spans="1:16" x14ac:dyDescent="0.3">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6">
        <f>INDEX(products!$A$1:$G$49,MATCH(orders!$D589,products!$A$1:$A$49,0),MATCH(orders!K$1,products!$A$1:$G$1,0))</f>
        <v>0.5</v>
      </c>
      <c r="L589" s="5">
        <f>INDEX(products!$A$1:$G$49,MATCH(orders!$D589,products!$A$1:$A$49,0),MATCH(orders!L$1,products!$A$1:$G$1,0))</f>
        <v>7.77</v>
      </c>
      <c r="M589" s="4">
        <f t="shared" si="27"/>
        <v>7.77</v>
      </c>
      <c r="N589" t="str">
        <f t="shared" si="28"/>
        <v>Librica</v>
      </c>
      <c r="O589" t="str">
        <f t="shared" si="29"/>
        <v>Dark</v>
      </c>
      <c r="P589" t="str">
        <f>_xlfn.XLOOKUP(Table1[[#This Row],[Customer ID]],customers!$A$1:$A$1001,customers!$I$1:$I$1001,,0)</f>
        <v>Yes</v>
      </c>
    </row>
    <row r="590" spans="1:16" x14ac:dyDescent="0.3">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6">
        <f>INDEX(products!$A$1:$G$49,MATCH(orders!$D590,products!$A$1:$A$49,0),MATCH(orders!K$1,products!$A$1:$G$1,0))</f>
        <v>0.5</v>
      </c>
      <c r="L590" s="5">
        <f>INDEX(products!$A$1:$G$49,MATCH(orders!$D590,products!$A$1:$A$49,0),MATCH(orders!L$1,products!$A$1:$G$1,0))</f>
        <v>5.97</v>
      </c>
      <c r="M590" s="4">
        <f t="shared" si="27"/>
        <v>11.94</v>
      </c>
      <c r="N590" t="str">
        <f t="shared" si="28"/>
        <v>Robusta</v>
      </c>
      <c r="O590" t="str">
        <f t="shared" si="29"/>
        <v>Medium</v>
      </c>
      <c r="P590" t="str">
        <f>_xlfn.XLOOKUP(Table1[[#This Row],[Customer ID]],customers!$A$1:$A$1001,customers!$I$1:$I$1001,,0)</f>
        <v>Yes</v>
      </c>
    </row>
    <row r="591" spans="1:16" x14ac:dyDescent="0.3">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6">
        <f>INDEX(products!$A$1:$G$49,MATCH(orders!$D591,products!$A$1:$A$49,0),MATCH(orders!K$1,products!$A$1:$G$1,0))</f>
        <v>2.5</v>
      </c>
      <c r="L591" s="5">
        <f>INDEX(products!$A$1:$G$49,MATCH(orders!$D591,products!$A$1:$A$49,0),MATCH(orders!L$1,products!$A$1:$G$1,0))</f>
        <v>34.154999999999994</v>
      </c>
      <c r="M591" s="4">
        <f t="shared" si="27"/>
        <v>204.92999999999995</v>
      </c>
      <c r="N591" t="str">
        <f t="shared" si="28"/>
        <v>Excelsa</v>
      </c>
      <c r="O591" t="str">
        <f t="shared" si="29"/>
        <v>Light</v>
      </c>
      <c r="P591" t="str">
        <f>_xlfn.XLOOKUP(Table1[[#This Row],[Customer ID]],customers!$A$1:$A$1001,customers!$I$1:$I$1001,,0)</f>
        <v>No</v>
      </c>
    </row>
    <row r="592" spans="1:16" x14ac:dyDescent="0.3">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6">
        <f>INDEX(products!$A$1:$G$49,MATCH(orders!$D592,products!$A$1:$A$49,0),MATCH(orders!K$1,products!$A$1:$G$1,0))</f>
        <v>2.5</v>
      </c>
      <c r="L592" s="5">
        <f>INDEX(products!$A$1:$G$49,MATCH(orders!$D592,products!$A$1:$A$49,0),MATCH(orders!L$1,products!$A$1:$G$1,0))</f>
        <v>31.624999999999996</v>
      </c>
      <c r="M592" s="4">
        <f t="shared" si="27"/>
        <v>63.249999999999993</v>
      </c>
      <c r="N592" t="str">
        <f t="shared" si="28"/>
        <v>Excelsa</v>
      </c>
      <c r="O592" t="str">
        <f t="shared" si="29"/>
        <v>Medium</v>
      </c>
      <c r="P592" t="str">
        <f>_xlfn.XLOOKUP(Table1[[#This Row],[Customer ID]],customers!$A$1:$A$1001,customers!$I$1:$I$1001,,0)</f>
        <v>Yes</v>
      </c>
    </row>
    <row r="593" spans="1:16" x14ac:dyDescent="0.3">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6">
        <f>INDEX(products!$A$1:$G$49,MATCH(orders!$D593,products!$A$1:$A$49,0),MATCH(orders!K$1,products!$A$1:$G$1,0))</f>
        <v>0.2</v>
      </c>
      <c r="L593" s="5">
        <f>INDEX(products!$A$1:$G$49,MATCH(orders!$D593,products!$A$1:$A$49,0),MATCH(orders!L$1,products!$A$1:$G$1,0))</f>
        <v>2.6849999999999996</v>
      </c>
      <c r="M593" s="4">
        <f t="shared" si="27"/>
        <v>8.0549999999999997</v>
      </c>
      <c r="N593" t="str">
        <f t="shared" si="28"/>
        <v>Robusta</v>
      </c>
      <c r="O593" t="str">
        <f t="shared" si="29"/>
        <v>Dark</v>
      </c>
      <c r="P593" t="str">
        <f>_xlfn.XLOOKUP(Table1[[#This Row],[Customer ID]],customers!$A$1:$A$1001,customers!$I$1:$I$1001,,0)</f>
        <v>Yes</v>
      </c>
    </row>
    <row r="594" spans="1:16" x14ac:dyDescent="0.3">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6">
        <f>INDEX(products!$A$1:$G$49,MATCH(orders!$D594,products!$A$1:$A$49,0),MATCH(orders!K$1,products!$A$1:$G$1,0))</f>
        <v>2.5</v>
      </c>
      <c r="L594" s="5">
        <f>INDEX(products!$A$1:$G$49,MATCH(orders!$D594,products!$A$1:$A$49,0),MATCH(orders!L$1,products!$A$1:$G$1,0))</f>
        <v>25.874999999999996</v>
      </c>
      <c r="M594" s="4">
        <f t="shared" si="27"/>
        <v>51.749999999999993</v>
      </c>
      <c r="N594" t="str">
        <f t="shared" si="28"/>
        <v>Arabica</v>
      </c>
      <c r="O594" t="str">
        <f t="shared" si="29"/>
        <v>Medium</v>
      </c>
      <c r="P594" t="str">
        <f>_xlfn.XLOOKUP(Table1[[#This Row],[Customer ID]],customers!$A$1:$A$1001,customers!$I$1:$I$1001,,0)</f>
        <v>No</v>
      </c>
    </row>
    <row r="595" spans="1:16" x14ac:dyDescent="0.3">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6">
        <f>INDEX(products!$A$1:$G$49,MATCH(orders!$D595,products!$A$1:$A$49,0),MATCH(orders!K$1,products!$A$1:$G$1,0))</f>
        <v>2.5</v>
      </c>
      <c r="L595" s="5">
        <f>INDEX(products!$A$1:$G$49,MATCH(orders!$D595,products!$A$1:$A$49,0),MATCH(orders!L$1,products!$A$1:$G$1,0))</f>
        <v>27.945</v>
      </c>
      <c r="M595" s="4">
        <f t="shared" si="27"/>
        <v>27.945</v>
      </c>
      <c r="N595" t="str">
        <f t="shared" si="28"/>
        <v>Excelsa</v>
      </c>
      <c r="O595" t="str">
        <f t="shared" si="29"/>
        <v>Dark</v>
      </c>
      <c r="P595" t="str">
        <f>_xlfn.XLOOKUP(Table1[[#This Row],[Customer ID]],customers!$A$1:$A$1001,customers!$I$1:$I$1001,,0)</f>
        <v>Yes</v>
      </c>
    </row>
    <row r="596" spans="1:16" x14ac:dyDescent="0.3">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6">
        <f>INDEX(products!$A$1:$G$49,MATCH(orders!$D596,products!$A$1:$A$49,0),MATCH(orders!K$1,products!$A$1:$G$1,0))</f>
        <v>2.5</v>
      </c>
      <c r="L596" s="5">
        <f>INDEX(products!$A$1:$G$49,MATCH(orders!$D596,products!$A$1:$A$49,0),MATCH(orders!L$1,products!$A$1:$G$1,0))</f>
        <v>29.784999999999997</v>
      </c>
      <c r="M596" s="4">
        <f t="shared" si="27"/>
        <v>59.569999999999993</v>
      </c>
      <c r="N596" t="str">
        <f t="shared" si="28"/>
        <v>Arabica</v>
      </c>
      <c r="O596" t="str">
        <f t="shared" si="29"/>
        <v>Light</v>
      </c>
      <c r="P596" t="str">
        <f>_xlfn.XLOOKUP(Table1[[#This Row],[Customer ID]],customers!$A$1:$A$1001,customers!$I$1:$I$1001,,0)</f>
        <v>No</v>
      </c>
    </row>
    <row r="597" spans="1:16" x14ac:dyDescent="0.3">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6">
        <f>INDEX(products!$A$1:$G$49,MATCH(orders!$D597,products!$A$1:$A$49,0),MATCH(orders!K$1,products!$A$1:$G$1,0))</f>
        <v>1</v>
      </c>
      <c r="L597" s="5">
        <f>INDEX(products!$A$1:$G$49,MATCH(orders!$D597,products!$A$1:$A$49,0),MATCH(orders!L$1,products!$A$1:$G$1,0))</f>
        <v>14.85</v>
      </c>
      <c r="M597" s="4">
        <f t="shared" si="27"/>
        <v>14.85</v>
      </c>
      <c r="N597" t="str">
        <f t="shared" si="28"/>
        <v>Excelsa</v>
      </c>
      <c r="O597" t="str">
        <f t="shared" si="29"/>
        <v>Light</v>
      </c>
      <c r="P597" t="str">
        <f>_xlfn.XLOOKUP(Table1[[#This Row],[Customer ID]],customers!$A$1:$A$1001,customers!$I$1:$I$1001,,0)</f>
        <v>No</v>
      </c>
    </row>
    <row r="598" spans="1:16" x14ac:dyDescent="0.3">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6">
        <f>INDEX(products!$A$1:$G$49,MATCH(orders!$D598,products!$A$1:$A$49,0),MATCH(orders!K$1,products!$A$1:$G$1,0))</f>
        <v>0.5</v>
      </c>
      <c r="L598" s="5">
        <f>INDEX(products!$A$1:$G$49,MATCH(orders!$D598,products!$A$1:$A$49,0),MATCH(orders!L$1,products!$A$1:$G$1,0))</f>
        <v>6.75</v>
      </c>
      <c r="M598" s="4">
        <f t="shared" si="27"/>
        <v>33.75</v>
      </c>
      <c r="N598" t="str">
        <f t="shared" si="28"/>
        <v>Arabica</v>
      </c>
      <c r="O598" t="str">
        <f t="shared" si="29"/>
        <v>Medium</v>
      </c>
      <c r="P598" t="str">
        <f>_xlfn.XLOOKUP(Table1[[#This Row],[Customer ID]],customers!$A$1:$A$1001,customers!$I$1:$I$1001,,0)</f>
        <v>No</v>
      </c>
    </row>
    <row r="599" spans="1:16" x14ac:dyDescent="0.3">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6">
        <f>INDEX(products!$A$1:$G$49,MATCH(orders!$D599,products!$A$1:$A$49,0),MATCH(orders!K$1,products!$A$1:$G$1,0))</f>
        <v>2.5</v>
      </c>
      <c r="L599" s="5">
        <f>INDEX(products!$A$1:$G$49,MATCH(orders!$D599,products!$A$1:$A$49,0),MATCH(orders!L$1,products!$A$1:$G$1,0))</f>
        <v>36.454999999999998</v>
      </c>
      <c r="M599" s="4">
        <f t="shared" si="27"/>
        <v>145.82</v>
      </c>
      <c r="N599" t="str">
        <f t="shared" si="28"/>
        <v>Librica</v>
      </c>
      <c r="O599" t="str">
        <f t="shared" si="29"/>
        <v>Light</v>
      </c>
      <c r="P599" t="str">
        <f>_xlfn.XLOOKUP(Table1[[#This Row],[Customer ID]],customers!$A$1:$A$1001,customers!$I$1:$I$1001,,0)</f>
        <v>Yes</v>
      </c>
    </row>
    <row r="600" spans="1:16" x14ac:dyDescent="0.3">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6">
        <f>INDEX(products!$A$1:$G$49,MATCH(orders!$D600,products!$A$1:$A$49,0),MATCH(orders!K$1,products!$A$1:$G$1,0))</f>
        <v>0.2</v>
      </c>
      <c r="L600" s="5">
        <f>INDEX(products!$A$1:$G$49,MATCH(orders!$D600,products!$A$1:$A$49,0),MATCH(orders!L$1,products!$A$1:$G$1,0))</f>
        <v>2.9849999999999999</v>
      </c>
      <c r="M600" s="4">
        <f t="shared" si="27"/>
        <v>11.94</v>
      </c>
      <c r="N600" t="str">
        <f t="shared" si="28"/>
        <v>Robusta</v>
      </c>
      <c r="O600" t="str">
        <f t="shared" si="29"/>
        <v>Medium</v>
      </c>
      <c r="P600" t="str">
        <f>_xlfn.XLOOKUP(Table1[[#This Row],[Customer ID]],customers!$A$1:$A$1001,customers!$I$1:$I$1001,,0)</f>
        <v>Yes</v>
      </c>
    </row>
    <row r="601" spans="1:16" x14ac:dyDescent="0.3">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6">
        <f>INDEX(products!$A$1:$G$49,MATCH(orders!$D601,products!$A$1:$A$49,0),MATCH(orders!K$1,products!$A$1:$G$1,0))</f>
        <v>0.2</v>
      </c>
      <c r="L601" s="5">
        <f>INDEX(products!$A$1:$G$49,MATCH(orders!$D601,products!$A$1:$A$49,0),MATCH(orders!L$1,products!$A$1:$G$1,0))</f>
        <v>2.9849999999999999</v>
      </c>
      <c r="M601" s="4">
        <f t="shared" si="27"/>
        <v>11.94</v>
      </c>
      <c r="N601" t="str">
        <f t="shared" si="28"/>
        <v>Arabica</v>
      </c>
      <c r="O601" t="str">
        <f t="shared" si="29"/>
        <v>Dark</v>
      </c>
      <c r="P601" t="str">
        <f>_xlfn.XLOOKUP(Table1[[#This Row],[Customer ID]],customers!$A$1:$A$1001,customers!$I$1:$I$1001,,0)</f>
        <v>Yes</v>
      </c>
    </row>
    <row r="602" spans="1:16" x14ac:dyDescent="0.3">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6">
        <f>INDEX(products!$A$1:$G$49,MATCH(orders!$D602,products!$A$1:$A$49,0),MATCH(orders!K$1,products!$A$1:$G$1,0))</f>
        <v>0.5</v>
      </c>
      <c r="L602" s="5">
        <f>INDEX(products!$A$1:$G$49,MATCH(orders!$D602,products!$A$1:$A$49,0),MATCH(orders!L$1,products!$A$1:$G$1,0))</f>
        <v>7.77</v>
      </c>
      <c r="M602" s="4">
        <f t="shared" si="27"/>
        <v>7.77</v>
      </c>
      <c r="N602" t="str">
        <f t="shared" si="28"/>
        <v>Librica</v>
      </c>
      <c r="O602" t="str">
        <f t="shared" si="29"/>
        <v>Dark</v>
      </c>
      <c r="P602" t="str">
        <f>_xlfn.XLOOKUP(Table1[[#This Row],[Customer ID]],customers!$A$1:$A$1001,customers!$I$1:$I$1001,,0)</f>
        <v>No</v>
      </c>
    </row>
    <row r="603" spans="1:16" x14ac:dyDescent="0.3">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6">
        <f>INDEX(products!$A$1:$G$49,MATCH(orders!$D603,products!$A$1:$A$49,0),MATCH(orders!K$1,products!$A$1:$G$1,0))</f>
        <v>2.5</v>
      </c>
      <c r="L603" s="5">
        <f>INDEX(products!$A$1:$G$49,MATCH(orders!$D603,products!$A$1:$A$49,0),MATCH(orders!L$1,products!$A$1:$G$1,0))</f>
        <v>27.484999999999996</v>
      </c>
      <c r="M603" s="4">
        <f t="shared" si="27"/>
        <v>109.93999999999998</v>
      </c>
      <c r="N603" t="str">
        <f t="shared" si="28"/>
        <v>Robusta</v>
      </c>
      <c r="O603" t="str">
        <f t="shared" si="29"/>
        <v>Light</v>
      </c>
      <c r="P603" t="str">
        <f>_xlfn.XLOOKUP(Table1[[#This Row],[Customer ID]],customers!$A$1:$A$1001,customers!$I$1:$I$1001,,0)</f>
        <v>Yes</v>
      </c>
    </row>
    <row r="604" spans="1:16" x14ac:dyDescent="0.3">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6">
        <f>INDEX(products!$A$1:$G$49,MATCH(orders!$D604,products!$A$1:$A$49,0),MATCH(orders!K$1,products!$A$1:$G$1,0))</f>
        <v>0.2</v>
      </c>
      <c r="L604" s="5">
        <f>INDEX(products!$A$1:$G$49,MATCH(orders!$D604,products!$A$1:$A$49,0),MATCH(orders!L$1,products!$A$1:$G$1,0))</f>
        <v>4.4550000000000001</v>
      </c>
      <c r="M604" s="4">
        <f t="shared" si="27"/>
        <v>22.274999999999999</v>
      </c>
      <c r="N604" t="str">
        <f t="shared" si="28"/>
        <v>Excelsa</v>
      </c>
      <c r="O604" t="str">
        <f t="shared" si="29"/>
        <v>Light</v>
      </c>
      <c r="P604" t="str">
        <f>_xlfn.XLOOKUP(Table1[[#This Row],[Customer ID]],customers!$A$1:$A$1001,customers!$I$1:$I$1001,,0)</f>
        <v>Yes</v>
      </c>
    </row>
    <row r="605" spans="1:16" x14ac:dyDescent="0.3">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6">
        <f>INDEX(products!$A$1:$G$49,MATCH(orders!$D605,products!$A$1:$A$49,0),MATCH(orders!K$1,products!$A$1:$G$1,0))</f>
        <v>0.2</v>
      </c>
      <c r="L605" s="5">
        <f>INDEX(products!$A$1:$G$49,MATCH(orders!$D605,products!$A$1:$A$49,0),MATCH(orders!L$1,products!$A$1:$G$1,0))</f>
        <v>2.9849999999999999</v>
      </c>
      <c r="M605" s="4">
        <f t="shared" si="27"/>
        <v>8.9550000000000001</v>
      </c>
      <c r="N605" t="str">
        <f t="shared" si="28"/>
        <v>Robusta</v>
      </c>
      <c r="O605" t="str">
        <f t="shared" si="29"/>
        <v>Medium</v>
      </c>
      <c r="P605" t="str">
        <f>_xlfn.XLOOKUP(Table1[[#This Row],[Customer ID]],customers!$A$1:$A$1001,customers!$I$1:$I$1001,,0)</f>
        <v>No</v>
      </c>
    </row>
    <row r="606" spans="1:16" x14ac:dyDescent="0.3">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6">
        <f>INDEX(products!$A$1:$G$49,MATCH(orders!$D606,products!$A$1:$A$49,0),MATCH(orders!K$1,products!$A$1:$G$1,0))</f>
        <v>2.5</v>
      </c>
      <c r="L606" s="5">
        <f>INDEX(products!$A$1:$G$49,MATCH(orders!$D606,products!$A$1:$A$49,0),MATCH(orders!L$1,products!$A$1:$G$1,0))</f>
        <v>29.784999999999997</v>
      </c>
      <c r="M606" s="4">
        <f t="shared" si="27"/>
        <v>119.13999999999999</v>
      </c>
      <c r="N606" t="str">
        <f t="shared" si="28"/>
        <v>Librica</v>
      </c>
      <c r="O606" t="str">
        <f t="shared" si="29"/>
        <v>Dark</v>
      </c>
      <c r="P606" t="str">
        <f>_xlfn.XLOOKUP(Table1[[#This Row],[Customer ID]],customers!$A$1:$A$1001,customers!$I$1:$I$1001,,0)</f>
        <v>No</v>
      </c>
    </row>
    <row r="607" spans="1:16" x14ac:dyDescent="0.3">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6">
        <f>INDEX(products!$A$1:$G$49,MATCH(orders!$D607,products!$A$1:$A$49,0),MATCH(orders!K$1,products!$A$1:$G$1,0))</f>
        <v>2.5</v>
      </c>
      <c r="L607" s="5">
        <f>INDEX(products!$A$1:$G$49,MATCH(orders!$D607,products!$A$1:$A$49,0),MATCH(orders!L$1,products!$A$1:$G$1,0))</f>
        <v>29.784999999999997</v>
      </c>
      <c r="M607" s="4">
        <f t="shared" si="27"/>
        <v>148.92499999999998</v>
      </c>
      <c r="N607" t="str">
        <f t="shared" si="28"/>
        <v>Arabica</v>
      </c>
      <c r="O607" t="str">
        <f t="shared" si="29"/>
        <v>Light</v>
      </c>
      <c r="P607" t="str">
        <f>_xlfn.XLOOKUP(Table1[[#This Row],[Customer ID]],customers!$A$1:$A$1001,customers!$I$1:$I$1001,,0)</f>
        <v>Yes</v>
      </c>
    </row>
    <row r="608" spans="1:16" x14ac:dyDescent="0.3">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6">
        <f>INDEX(products!$A$1:$G$49,MATCH(orders!$D608,products!$A$1:$A$49,0),MATCH(orders!K$1,products!$A$1:$G$1,0))</f>
        <v>2.5</v>
      </c>
      <c r="L608" s="5">
        <f>INDEX(products!$A$1:$G$49,MATCH(orders!$D608,products!$A$1:$A$49,0),MATCH(orders!L$1,products!$A$1:$G$1,0))</f>
        <v>36.454999999999998</v>
      </c>
      <c r="M608" s="4">
        <f t="shared" si="27"/>
        <v>109.36499999999999</v>
      </c>
      <c r="N608" t="str">
        <f t="shared" si="28"/>
        <v>Librica</v>
      </c>
      <c r="O608" t="str">
        <f t="shared" si="29"/>
        <v>Light</v>
      </c>
      <c r="P608" t="str">
        <f>_xlfn.XLOOKUP(Table1[[#This Row],[Customer ID]],customers!$A$1:$A$1001,customers!$I$1:$I$1001,,0)</f>
        <v>Yes</v>
      </c>
    </row>
    <row r="609" spans="1:16" x14ac:dyDescent="0.3">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6">
        <f>INDEX(products!$A$1:$G$49,MATCH(orders!$D609,products!$A$1:$A$49,0),MATCH(orders!K$1,products!$A$1:$G$1,0))</f>
        <v>0.2</v>
      </c>
      <c r="L609" s="5">
        <f>INDEX(products!$A$1:$G$49,MATCH(orders!$D609,products!$A$1:$A$49,0),MATCH(orders!L$1,products!$A$1:$G$1,0))</f>
        <v>3.645</v>
      </c>
      <c r="M609" s="4">
        <f t="shared" si="27"/>
        <v>3.645</v>
      </c>
      <c r="N609" t="str">
        <f t="shared" si="28"/>
        <v>Excelsa</v>
      </c>
      <c r="O609" t="str">
        <f t="shared" si="29"/>
        <v>Dark</v>
      </c>
      <c r="P609" t="str">
        <f>_xlfn.XLOOKUP(Table1[[#This Row],[Customer ID]],customers!$A$1:$A$1001,customers!$I$1:$I$1001,,0)</f>
        <v>Yes</v>
      </c>
    </row>
    <row r="610" spans="1:16" x14ac:dyDescent="0.3">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6">
        <f>INDEX(products!$A$1:$G$49,MATCH(orders!$D610,products!$A$1:$A$49,0),MATCH(orders!K$1,products!$A$1:$G$1,0))</f>
        <v>2.5</v>
      </c>
      <c r="L610" s="5">
        <f>INDEX(products!$A$1:$G$49,MATCH(orders!$D610,products!$A$1:$A$49,0),MATCH(orders!L$1,products!$A$1:$G$1,0))</f>
        <v>27.945</v>
      </c>
      <c r="M610" s="4">
        <f t="shared" si="27"/>
        <v>55.89</v>
      </c>
      <c r="N610" t="str">
        <f t="shared" si="28"/>
        <v>Excelsa</v>
      </c>
      <c r="O610" t="str">
        <f t="shared" si="29"/>
        <v>Dark</v>
      </c>
      <c r="P610" t="str">
        <f>_xlfn.XLOOKUP(Table1[[#This Row],[Customer ID]],customers!$A$1:$A$1001,customers!$I$1:$I$1001,,0)</f>
        <v>No</v>
      </c>
    </row>
    <row r="611" spans="1:16" x14ac:dyDescent="0.3">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6">
        <f>INDEX(products!$A$1:$G$49,MATCH(orders!$D611,products!$A$1:$A$49,0),MATCH(orders!K$1,products!$A$1:$G$1,0))</f>
        <v>0.2</v>
      </c>
      <c r="L611" s="5">
        <f>INDEX(products!$A$1:$G$49,MATCH(orders!$D611,products!$A$1:$A$49,0),MATCH(orders!L$1,products!$A$1:$G$1,0))</f>
        <v>4.3650000000000002</v>
      </c>
      <c r="M611" s="4">
        <f t="shared" si="27"/>
        <v>26.19</v>
      </c>
      <c r="N611" t="str">
        <f t="shared" si="28"/>
        <v>Librica</v>
      </c>
      <c r="O611" t="str">
        <f t="shared" si="29"/>
        <v>Medium</v>
      </c>
      <c r="P611" t="str">
        <f>_xlfn.XLOOKUP(Table1[[#This Row],[Customer ID]],customers!$A$1:$A$1001,customers!$I$1:$I$1001,,0)</f>
        <v>Yes</v>
      </c>
    </row>
    <row r="612" spans="1:16" x14ac:dyDescent="0.3">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6">
        <f>INDEX(products!$A$1:$G$49,MATCH(orders!$D612,products!$A$1:$A$49,0),MATCH(orders!K$1,products!$A$1:$G$1,0))</f>
        <v>1</v>
      </c>
      <c r="L612" s="5">
        <f>INDEX(products!$A$1:$G$49,MATCH(orders!$D612,products!$A$1:$A$49,0),MATCH(orders!L$1,products!$A$1:$G$1,0))</f>
        <v>9.9499999999999993</v>
      </c>
      <c r="M612" s="4">
        <f t="shared" si="27"/>
        <v>39.799999999999997</v>
      </c>
      <c r="N612" t="str">
        <f t="shared" si="28"/>
        <v>Robusta</v>
      </c>
      <c r="O612" t="str">
        <f t="shared" si="29"/>
        <v>Medium</v>
      </c>
      <c r="P612" t="str">
        <f>_xlfn.XLOOKUP(Table1[[#This Row],[Customer ID]],customers!$A$1:$A$1001,customers!$I$1:$I$1001,,0)</f>
        <v>No</v>
      </c>
    </row>
    <row r="613" spans="1:16" x14ac:dyDescent="0.3">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6">
        <f>INDEX(products!$A$1:$G$49,MATCH(orders!$D613,products!$A$1:$A$49,0),MATCH(orders!K$1,products!$A$1:$G$1,0))</f>
        <v>2.5</v>
      </c>
      <c r="L613" s="5">
        <f>INDEX(products!$A$1:$G$49,MATCH(orders!$D613,products!$A$1:$A$49,0),MATCH(orders!L$1,products!$A$1:$G$1,0))</f>
        <v>34.154999999999994</v>
      </c>
      <c r="M613" s="4">
        <f t="shared" si="27"/>
        <v>68.309999999999988</v>
      </c>
      <c r="N613" t="str">
        <f t="shared" si="28"/>
        <v>Excelsa</v>
      </c>
      <c r="O613" t="str">
        <f t="shared" si="29"/>
        <v>Light</v>
      </c>
      <c r="P613" t="str">
        <f>_xlfn.XLOOKUP(Table1[[#This Row],[Customer ID]],customers!$A$1:$A$1001,customers!$I$1:$I$1001,,0)</f>
        <v>No</v>
      </c>
    </row>
    <row r="614" spans="1:16" x14ac:dyDescent="0.3">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6">
        <f>INDEX(products!$A$1:$G$49,MATCH(orders!$D614,products!$A$1:$A$49,0),MATCH(orders!K$1,products!$A$1:$G$1,0))</f>
        <v>0.2</v>
      </c>
      <c r="L614" s="5">
        <f>INDEX(products!$A$1:$G$49,MATCH(orders!$D614,products!$A$1:$A$49,0),MATCH(orders!L$1,products!$A$1:$G$1,0))</f>
        <v>3.375</v>
      </c>
      <c r="M614" s="4">
        <f t="shared" si="27"/>
        <v>13.5</v>
      </c>
      <c r="N614" t="str">
        <f t="shared" si="28"/>
        <v>Arabica</v>
      </c>
      <c r="O614" t="str">
        <f t="shared" si="29"/>
        <v>Medium</v>
      </c>
      <c r="P614" t="str">
        <f>_xlfn.XLOOKUP(Table1[[#This Row],[Customer ID]],customers!$A$1:$A$1001,customers!$I$1:$I$1001,,0)</f>
        <v>No</v>
      </c>
    </row>
    <row r="615" spans="1:16" x14ac:dyDescent="0.3">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6">
        <f>INDEX(products!$A$1:$G$49,MATCH(orders!$D615,products!$A$1:$A$49,0),MATCH(orders!K$1,products!$A$1:$G$1,0))</f>
        <v>0.5</v>
      </c>
      <c r="L615" s="5">
        <f>INDEX(products!$A$1:$G$49,MATCH(orders!$D615,products!$A$1:$A$49,0),MATCH(orders!L$1,products!$A$1:$G$1,0))</f>
        <v>5.97</v>
      </c>
      <c r="M615" s="4">
        <f t="shared" si="27"/>
        <v>5.97</v>
      </c>
      <c r="N615" t="str">
        <f t="shared" si="28"/>
        <v>Robusta</v>
      </c>
      <c r="O615" t="str">
        <f t="shared" si="29"/>
        <v>Medium</v>
      </c>
      <c r="P615" t="str">
        <f>_xlfn.XLOOKUP(Table1[[#This Row],[Customer ID]],customers!$A$1:$A$1001,customers!$I$1:$I$1001,,0)</f>
        <v>No</v>
      </c>
    </row>
    <row r="616" spans="1:16" x14ac:dyDescent="0.3">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6">
        <f>INDEX(products!$A$1:$G$49,MATCH(orders!$D616,products!$A$1:$A$49,0),MATCH(orders!K$1,products!$A$1:$G$1,0))</f>
        <v>0.5</v>
      </c>
      <c r="L616" s="5">
        <f>INDEX(products!$A$1:$G$49,MATCH(orders!$D616,products!$A$1:$A$49,0),MATCH(orders!L$1,products!$A$1:$G$1,0))</f>
        <v>5.97</v>
      </c>
      <c r="M616" s="4">
        <f t="shared" si="27"/>
        <v>29.849999999999998</v>
      </c>
      <c r="N616" t="str">
        <f t="shared" si="28"/>
        <v>Robusta</v>
      </c>
      <c r="O616" t="str">
        <f t="shared" si="29"/>
        <v>Medium</v>
      </c>
      <c r="P616" t="str">
        <f>_xlfn.XLOOKUP(Table1[[#This Row],[Customer ID]],customers!$A$1:$A$1001,customers!$I$1:$I$1001,,0)</f>
        <v>Yes</v>
      </c>
    </row>
    <row r="617" spans="1:16" x14ac:dyDescent="0.3">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6">
        <f>INDEX(products!$A$1:$G$49,MATCH(orders!$D617,products!$A$1:$A$49,0),MATCH(orders!K$1,products!$A$1:$G$1,0))</f>
        <v>2.5</v>
      </c>
      <c r="L617" s="5">
        <f>INDEX(products!$A$1:$G$49,MATCH(orders!$D617,products!$A$1:$A$49,0),MATCH(orders!L$1,products!$A$1:$G$1,0))</f>
        <v>36.454999999999998</v>
      </c>
      <c r="M617" s="4">
        <f t="shared" si="27"/>
        <v>72.91</v>
      </c>
      <c r="N617" t="str">
        <f t="shared" si="28"/>
        <v>Librica</v>
      </c>
      <c r="O617" t="str">
        <f t="shared" si="29"/>
        <v>Light</v>
      </c>
      <c r="P617" t="str">
        <f>_xlfn.XLOOKUP(Table1[[#This Row],[Customer ID]],customers!$A$1:$A$1001,customers!$I$1:$I$1001,,0)</f>
        <v>Yes</v>
      </c>
    </row>
    <row r="618" spans="1:16" x14ac:dyDescent="0.3">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6">
        <f>INDEX(products!$A$1:$G$49,MATCH(orders!$D618,products!$A$1:$A$49,0),MATCH(orders!K$1,products!$A$1:$G$1,0))</f>
        <v>2.5</v>
      </c>
      <c r="L618" s="5">
        <f>INDEX(products!$A$1:$G$49,MATCH(orders!$D618,products!$A$1:$A$49,0),MATCH(orders!L$1,products!$A$1:$G$1,0))</f>
        <v>31.624999999999996</v>
      </c>
      <c r="M618" s="4">
        <f t="shared" si="27"/>
        <v>126.49999999999999</v>
      </c>
      <c r="N618" t="str">
        <f t="shared" si="28"/>
        <v>Excelsa</v>
      </c>
      <c r="O618" t="str">
        <f t="shared" si="29"/>
        <v>Medium</v>
      </c>
      <c r="P618" t="str">
        <f>_xlfn.XLOOKUP(Table1[[#This Row],[Customer ID]],customers!$A$1:$A$1001,customers!$I$1:$I$1001,,0)</f>
        <v>No</v>
      </c>
    </row>
    <row r="619" spans="1:16" x14ac:dyDescent="0.3">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6">
        <f>INDEX(products!$A$1:$G$49,MATCH(orders!$D619,products!$A$1:$A$49,0),MATCH(orders!K$1,products!$A$1:$G$1,0))</f>
        <v>2.5</v>
      </c>
      <c r="L619" s="5">
        <f>INDEX(products!$A$1:$G$49,MATCH(orders!$D619,products!$A$1:$A$49,0),MATCH(orders!L$1,products!$A$1:$G$1,0))</f>
        <v>33.464999999999996</v>
      </c>
      <c r="M619" s="4">
        <f t="shared" si="27"/>
        <v>33.464999999999996</v>
      </c>
      <c r="N619" t="str">
        <f t="shared" si="28"/>
        <v>Librica</v>
      </c>
      <c r="O619" t="str">
        <f t="shared" si="29"/>
        <v>Medium</v>
      </c>
      <c r="P619" t="str">
        <f>_xlfn.XLOOKUP(Table1[[#This Row],[Customer ID]],customers!$A$1:$A$1001,customers!$I$1:$I$1001,,0)</f>
        <v>No</v>
      </c>
    </row>
    <row r="620" spans="1:16" x14ac:dyDescent="0.3">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6">
        <f>INDEX(products!$A$1:$G$49,MATCH(orders!$D620,products!$A$1:$A$49,0),MATCH(orders!K$1,products!$A$1:$G$1,0))</f>
        <v>1</v>
      </c>
      <c r="L620" s="5">
        <f>INDEX(products!$A$1:$G$49,MATCH(orders!$D620,products!$A$1:$A$49,0),MATCH(orders!L$1,products!$A$1:$G$1,0))</f>
        <v>12.15</v>
      </c>
      <c r="M620" s="4">
        <f t="shared" si="27"/>
        <v>72.900000000000006</v>
      </c>
      <c r="N620" t="str">
        <f t="shared" si="28"/>
        <v>Excelsa</v>
      </c>
      <c r="O620" t="str">
        <f t="shared" si="29"/>
        <v>Dark</v>
      </c>
      <c r="P620" t="str">
        <f>_xlfn.XLOOKUP(Table1[[#This Row],[Customer ID]],customers!$A$1:$A$1001,customers!$I$1:$I$1001,,0)</f>
        <v>Yes</v>
      </c>
    </row>
    <row r="621" spans="1:16" x14ac:dyDescent="0.3">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6">
        <f>INDEX(products!$A$1:$G$49,MATCH(orders!$D621,products!$A$1:$A$49,0),MATCH(orders!K$1,products!$A$1:$G$1,0))</f>
        <v>0.5</v>
      </c>
      <c r="L621" s="5">
        <f>INDEX(products!$A$1:$G$49,MATCH(orders!$D621,products!$A$1:$A$49,0),MATCH(orders!L$1,products!$A$1:$G$1,0))</f>
        <v>7.77</v>
      </c>
      <c r="M621" s="4">
        <f t="shared" si="27"/>
        <v>15.54</v>
      </c>
      <c r="N621" t="str">
        <f t="shared" si="28"/>
        <v>Librica</v>
      </c>
      <c r="O621" t="str">
        <f t="shared" si="29"/>
        <v>Dark</v>
      </c>
      <c r="P621" t="str">
        <f>_xlfn.XLOOKUP(Table1[[#This Row],[Customer ID]],customers!$A$1:$A$1001,customers!$I$1:$I$1001,,0)</f>
        <v>Yes</v>
      </c>
    </row>
    <row r="622" spans="1:16" x14ac:dyDescent="0.3">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6">
        <f>INDEX(products!$A$1:$G$49,MATCH(orders!$D622,products!$A$1:$A$49,0),MATCH(orders!K$1,products!$A$1:$G$1,0))</f>
        <v>0.2</v>
      </c>
      <c r="L622" s="5">
        <f>INDEX(products!$A$1:$G$49,MATCH(orders!$D622,products!$A$1:$A$49,0),MATCH(orders!L$1,products!$A$1:$G$1,0))</f>
        <v>3.375</v>
      </c>
      <c r="M622" s="4">
        <f t="shared" si="27"/>
        <v>20.25</v>
      </c>
      <c r="N622" t="str">
        <f t="shared" si="28"/>
        <v>Arabica</v>
      </c>
      <c r="O622" t="str">
        <f t="shared" si="29"/>
        <v>Medium</v>
      </c>
      <c r="P622" t="str">
        <f>_xlfn.XLOOKUP(Table1[[#This Row],[Customer ID]],customers!$A$1:$A$1001,customers!$I$1:$I$1001,,0)</f>
        <v>No</v>
      </c>
    </row>
    <row r="623" spans="1:16" x14ac:dyDescent="0.3">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6">
        <f>INDEX(products!$A$1:$G$49,MATCH(orders!$D623,products!$A$1:$A$49,0),MATCH(orders!K$1,products!$A$1:$G$1,0))</f>
        <v>1</v>
      </c>
      <c r="L623" s="5">
        <f>INDEX(products!$A$1:$G$49,MATCH(orders!$D623,products!$A$1:$A$49,0),MATCH(orders!L$1,products!$A$1:$G$1,0))</f>
        <v>12.95</v>
      </c>
      <c r="M623" s="4">
        <f t="shared" si="27"/>
        <v>77.699999999999989</v>
      </c>
      <c r="N623" t="str">
        <f t="shared" si="28"/>
        <v>Arabica</v>
      </c>
      <c r="O623" t="str">
        <f t="shared" si="29"/>
        <v>Light</v>
      </c>
      <c r="P623" t="str">
        <f>_xlfn.XLOOKUP(Table1[[#This Row],[Customer ID]],customers!$A$1:$A$1001,customers!$I$1:$I$1001,,0)</f>
        <v>No</v>
      </c>
    </row>
    <row r="624" spans="1:16" x14ac:dyDescent="0.3">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6">
        <f>INDEX(products!$A$1:$G$49,MATCH(orders!$D624,products!$A$1:$A$49,0),MATCH(orders!K$1,products!$A$1:$G$1,0))</f>
        <v>2.5</v>
      </c>
      <c r="L624" s="5">
        <f>INDEX(products!$A$1:$G$49,MATCH(orders!$D624,products!$A$1:$A$49,0),MATCH(orders!L$1,products!$A$1:$G$1,0))</f>
        <v>33.464999999999996</v>
      </c>
      <c r="M624" s="4">
        <f t="shared" si="27"/>
        <v>133.85999999999999</v>
      </c>
      <c r="N624" t="str">
        <f t="shared" si="28"/>
        <v>Librica</v>
      </c>
      <c r="O624" t="str">
        <f t="shared" si="29"/>
        <v>Medium</v>
      </c>
      <c r="P624" t="str">
        <f>_xlfn.XLOOKUP(Table1[[#This Row],[Customer ID]],customers!$A$1:$A$1001,customers!$I$1:$I$1001,,0)</f>
        <v>No</v>
      </c>
    </row>
    <row r="625" spans="1:16" x14ac:dyDescent="0.3">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6">
        <f>INDEX(products!$A$1:$G$49,MATCH(orders!$D625,products!$A$1:$A$49,0),MATCH(orders!K$1,products!$A$1:$G$1,0))</f>
        <v>1</v>
      </c>
      <c r="L625" s="5">
        <f>INDEX(products!$A$1:$G$49,MATCH(orders!$D625,products!$A$1:$A$49,0),MATCH(orders!L$1,products!$A$1:$G$1,0))</f>
        <v>12.15</v>
      </c>
      <c r="M625" s="4">
        <f t="shared" si="27"/>
        <v>12.15</v>
      </c>
      <c r="N625" t="str">
        <f t="shared" si="28"/>
        <v>Excelsa</v>
      </c>
      <c r="O625" t="str">
        <f t="shared" si="29"/>
        <v>Dark</v>
      </c>
      <c r="P625" t="str">
        <f>_xlfn.XLOOKUP(Table1[[#This Row],[Customer ID]],customers!$A$1:$A$1001,customers!$I$1:$I$1001,,0)</f>
        <v>No</v>
      </c>
    </row>
    <row r="626" spans="1:16" x14ac:dyDescent="0.3">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6">
        <f>INDEX(products!$A$1:$G$49,MATCH(orders!$D626,products!$A$1:$A$49,0),MATCH(orders!K$1,products!$A$1:$G$1,0))</f>
        <v>2.5</v>
      </c>
      <c r="L626" s="5">
        <f>INDEX(products!$A$1:$G$49,MATCH(orders!$D626,products!$A$1:$A$49,0),MATCH(orders!L$1,products!$A$1:$G$1,0))</f>
        <v>31.624999999999996</v>
      </c>
      <c r="M626" s="4">
        <f t="shared" si="27"/>
        <v>63.249999999999993</v>
      </c>
      <c r="N626" t="str">
        <f t="shared" si="28"/>
        <v>Excelsa</v>
      </c>
      <c r="O626" t="str">
        <f t="shared" si="29"/>
        <v>Medium</v>
      </c>
      <c r="P626" t="str">
        <f>_xlfn.XLOOKUP(Table1[[#This Row],[Customer ID]],customers!$A$1:$A$1001,customers!$I$1:$I$1001,,0)</f>
        <v>Yes</v>
      </c>
    </row>
    <row r="627" spans="1:16" x14ac:dyDescent="0.3">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6">
        <f>INDEX(products!$A$1:$G$49,MATCH(orders!$D627,products!$A$1:$A$49,0),MATCH(orders!K$1,products!$A$1:$G$1,0))</f>
        <v>0.5</v>
      </c>
      <c r="L627" s="5">
        <f>INDEX(products!$A$1:$G$49,MATCH(orders!$D627,products!$A$1:$A$49,0),MATCH(orders!L$1,products!$A$1:$G$1,0))</f>
        <v>7.169999999999999</v>
      </c>
      <c r="M627" s="4">
        <f t="shared" si="27"/>
        <v>35.849999999999994</v>
      </c>
      <c r="N627" t="str">
        <f t="shared" si="28"/>
        <v>Robusta</v>
      </c>
      <c r="O627" t="str">
        <f t="shared" si="29"/>
        <v>Light</v>
      </c>
      <c r="P627" t="str">
        <f>_xlfn.XLOOKUP(Table1[[#This Row],[Customer ID]],customers!$A$1:$A$1001,customers!$I$1:$I$1001,,0)</f>
        <v>No</v>
      </c>
    </row>
    <row r="628" spans="1:16" x14ac:dyDescent="0.3">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6">
        <f>INDEX(products!$A$1:$G$49,MATCH(orders!$D628,products!$A$1:$A$49,0),MATCH(orders!K$1,products!$A$1:$G$1,0))</f>
        <v>2.5</v>
      </c>
      <c r="L628" s="5">
        <f>INDEX(products!$A$1:$G$49,MATCH(orders!$D628,products!$A$1:$A$49,0),MATCH(orders!L$1,products!$A$1:$G$1,0))</f>
        <v>25.874999999999996</v>
      </c>
      <c r="M628" s="4">
        <f t="shared" si="27"/>
        <v>77.624999999999986</v>
      </c>
      <c r="N628" t="str">
        <f t="shared" si="28"/>
        <v>Arabica</v>
      </c>
      <c r="O628" t="str">
        <f t="shared" si="29"/>
        <v>Medium</v>
      </c>
      <c r="P628" t="str">
        <f>_xlfn.XLOOKUP(Table1[[#This Row],[Customer ID]],customers!$A$1:$A$1001,customers!$I$1:$I$1001,,0)</f>
        <v>No</v>
      </c>
    </row>
    <row r="629" spans="1:16" x14ac:dyDescent="0.3">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6">
        <f>INDEX(products!$A$1:$G$49,MATCH(orders!$D629,products!$A$1:$A$49,0),MATCH(orders!K$1,products!$A$1:$G$1,0))</f>
        <v>2.5</v>
      </c>
      <c r="L629" s="5">
        <f>INDEX(products!$A$1:$G$49,MATCH(orders!$D629,products!$A$1:$A$49,0),MATCH(orders!L$1,products!$A$1:$G$1,0))</f>
        <v>31.624999999999996</v>
      </c>
      <c r="M629" s="4">
        <f t="shared" si="27"/>
        <v>63.249999999999993</v>
      </c>
      <c r="N629" t="str">
        <f t="shared" si="28"/>
        <v>Excelsa</v>
      </c>
      <c r="O629" t="str">
        <f t="shared" si="29"/>
        <v>Medium</v>
      </c>
      <c r="P629" t="str">
        <f>_xlfn.XLOOKUP(Table1[[#This Row],[Customer ID]],customers!$A$1:$A$1001,customers!$I$1:$I$1001,,0)</f>
        <v>Yes</v>
      </c>
    </row>
    <row r="630" spans="1:16" x14ac:dyDescent="0.3">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6">
        <f>INDEX(products!$A$1:$G$49,MATCH(orders!$D630,products!$A$1:$A$49,0),MATCH(orders!K$1,products!$A$1:$G$1,0))</f>
        <v>0.2</v>
      </c>
      <c r="L630" s="5">
        <f>INDEX(products!$A$1:$G$49,MATCH(orders!$D630,products!$A$1:$A$49,0),MATCH(orders!L$1,products!$A$1:$G$1,0))</f>
        <v>4.4550000000000001</v>
      </c>
      <c r="M630" s="4">
        <f t="shared" si="27"/>
        <v>26.73</v>
      </c>
      <c r="N630" t="str">
        <f t="shared" si="28"/>
        <v>Excelsa</v>
      </c>
      <c r="O630" t="str">
        <f t="shared" si="29"/>
        <v>Light</v>
      </c>
      <c r="P630" t="str">
        <f>_xlfn.XLOOKUP(Table1[[#This Row],[Customer ID]],customers!$A$1:$A$1001,customers!$I$1:$I$1001,,0)</f>
        <v>Yes</v>
      </c>
    </row>
    <row r="631" spans="1:16" x14ac:dyDescent="0.3">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6">
        <f>INDEX(products!$A$1:$G$49,MATCH(orders!$D631,products!$A$1:$A$49,0),MATCH(orders!K$1,products!$A$1:$G$1,0))</f>
        <v>0.5</v>
      </c>
      <c r="L631" s="5">
        <f>INDEX(products!$A$1:$G$49,MATCH(orders!$D631,products!$A$1:$A$49,0),MATCH(orders!L$1,products!$A$1:$G$1,0))</f>
        <v>7.77</v>
      </c>
      <c r="M631" s="4">
        <f t="shared" si="27"/>
        <v>31.08</v>
      </c>
      <c r="N631" t="str">
        <f t="shared" si="28"/>
        <v>Librica</v>
      </c>
      <c r="O631" t="str">
        <f t="shared" si="29"/>
        <v>Dark</v>
      </c>
      <c r="P631" t="str">
        <f>_xlfn.XLOOKUP(Table1[[#This Row],[Customer ID]],customers!$A$1:$A$1001,customers!$I$1:$I$1001,,0)</f>
        <v>Yes</v>
      </c>
    </row>
    <row r="632" spans="1:16" x14ac:dyDescent="0.3">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6">
        <f>INDEX(products!$A$1:$G$49,MATCH(orders!$D632,products!$A$1:$A$49,0),MATCH(orders!K$1,products!$A$1:$G$1,0))</f>
        <v>0.2</v>
      </c>
      <c r="L632" s="5">
        <f>INDEX(products!$A$1:$G$49,MATCH(orders!$D632,products!$A$1:$A$49,0),MATCH(orders!L$1,products!$A$1:$G$1,0))</f>
        <v>2.9849999999999999</v>
      </c>
      <c r="M632" s="4">
        <f t="shared" si="27"/>
        <v>2.9849999999999999</v>
      </c>
      <c r="N632" t="str">
        <f t="shared" si="28"/>
        <v>Arabica</v>
      </c>
      <c r="O632" t="str">
        <f t="shared" si="29"/>
        <v>Dark</v>
      </c>
      <c r="P632" t="str">
        <f>_xlfn.XLOOKUP(Table1[[#This Row],[Customer ID]],customers!$A$1:$A$1001,customers!$I$1:$I$1001,,0)</f>
        <v>Yes</v>
      </c>
    </row>
    <row r="633" spans="1:16" x14ac:dyDescent="0.3">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6">
        <f>INDEX(products!$A$1:$G$49,MATCH(orders!$D633,products!$A$1:$A$49,0),MATCH(orders!K$1,products!$A$1:$G$1,0))</f>
        <v>2.5</v>
      </c>
      <c r="L633" s="5">
        <f>INDEX(products!$A$1:$G$49,MATCH(orders!$D633,products!$A$1:$A$49,0),MATCH(orders!L$1,products!$A$1:$G$1,0))</f>
        <v>20.584999999999997</v>
      </c>
      <c r="M633" s="4">
        <f t="shared" si="27"/>
        <v>102.92499999999998</v>
      </c>
      <c r="N633" t="str">
        <f t="shared" si="28"/>
        <v>Robusta</v>
      </c>
      <c r="O633" t="str">
        <f t="shared" si="29"/>
        <v>Dark</v>
      </c>
      <c r="P633" t="str">
        <f>_xlfn.XLOOKUP(Table1[[#This Row],[Customer ID]],customers!$A$1:$A$1001,customers!$I$1:$I$1001,,0)</f>
        <v>Yes</v>
      </c>
    </row>
    <row r="634" spans="1:16" x14ac:dyDescent="0.3">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6">
        <f>INDEX(products!$A$1:$G$49,MATCH(orders!$D634,products!$A$1:$A$49,0),MATCH(orders!K$1,products!$A$1:$G$1,0))</f>
        <v>0.5</v>
      </c>
      <c r="L634" s="5">
        <f>INDEX(products!$A$1:$G$49,MATCH(orders!$D634,products!$A$1:$A$49,0),MATCH(orders!L$1,products!$A$1:$G$1,0))</f>
        <v>8.91</v>
      </c>
      <c r="M634" s="4">
        <f t="shared" si="27"/>
        <v>35.64</v>
      </c>
      <c r="N634" t="str">
        <f t="shared" si="28"/>
        <v>Excelsa</v>
      </c>
      <c r="O634" t="str">
        <f t="shared" si="29"/>
        <v>Light</v>
      </c>
      <c r="P634" t="str">
        <f>_xlfn.XLOOKUP(Table1[[#This Row],[Customer ID]],customers!$A$1:$A$1001,customers!$I$1:$I$1001,,0)</f>
        <v>No</v>
      </c>
    </row>
    <row r="635" spans="1:16" x14ac:dyDescent="0.3">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6">
        <f>INDEX(products!$A$1:$G$49,MATCH(orders!$D635,products!$A$1:$A$49,0),MATCH(orders!K$1,products!$A$1:$G$1,0))</f>
        <v>1</v>
      </c>
      <c r="L635" s="5">
        <f>INDEX(products!$A$1:$G$49,MATCH(orders!$D635,products!$A$1:$A$49,0),MATCH(orders!L$1,products!$A$1:$G$1,0))</f>
        <v>11.95</v>
      </c>
      <c r="M635" s="4">
        <f t="shared" si="27"/>
        <v>47.8</v>
      </c>
      <c r="N635" t="str">
        <f t="shared" si="28"/>
        <v>Robusta</v>
      </c>
      <c r="O635" t="str">
        <f t="shared" si="29"/>
        <v>Light</v>
      </c>
      <c r="P635" t="str">
        <f>_xlfn.XLOOKUP(Table1[[#This Row],[Customer ID]],customers!$A$1:$A$1001,customers!$I$1:$I$1001,,0)</f>
        <v>No</v>
      </c>
    </row>
    <row r="636" spans="1:16" x14ac:dyDescent="0.3">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6">
        <f>INDEX(products!$A$1:$G$49,MATCH(orders!$D636,products!$A$1:$A$49,0),MATCH(orders!K$1,products!$A$1:$G$1,0))</f>
        <v>1</v>
      </c>
      <c r="L636" s="5">
        <f>INDEX(products!$A$1:$G$49,MATCH(orders!$D636,products!$A$1:$A$49,0),MATCH(orders!L$1,products!$A$1:$G$1,0))</f>
        <v>14.55</v>
      </c>
      <c r="M636" s="4">
        <f t="shared" si="27"/>
        <v>43.650000000000006</v>
      </c>
      <c r="N636" t="str">
        <f t="shared" si="28"/>
        <v>Librica</v>
      </c>
      <c r="O636" t="str">
        <f t="shared" si="29"/>
        <v>Medium</v>
      </c>
      <c r="P636" t="str">
        <f>_xlfn.XLOOKUP(Table1[[#This Row],[Customer ID]],customers!$A$1:$A$1001,customers!$I$1:$I$1001,,0)</f>
        <v>No</v>
      </c>
    </row>
    <row r="637" spans="1:16" x14ac:dyDescent="0.3">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6">
        <f>INDEX(products!$A$1:$G$49,MATCH(orders!$D637,products!$A$1:$A$49,0),MATCH(orders!K$1,products!$A$1:$G$1,0))</f>
        <v>0.5</v>
      </c>
      <c r="L637" s="5">
        <f>INDEX(products!$A$1:$G$49,MATCH(orders!$D637,products!$A$1:$A$49,0),MATCH(orders!L$1,products!$A$1:$G$1,0))</f>
        <v>8.91</v>
      </c>
      <c r="M637" s="4">
        <f t="shared" si="27"/>
        <v>35.64</v>
      </c>
      <c r="N637" t="str">
        <f t="shared" si="28"/>
        <v>Excelsa</v>
      </c>
      <c r="O637" t="str">
        <f t="shared" si="29"/>
        <v>Light</v>
      </c>
      <c r="P637" t="str">
        <f>_xlfn.XLOOKUP(Table1[[#This Row],[Customer ID]],customers!$A$1:$A$1001,customers!$I$1:$I$1001,,0)</f>
        <v>Yes</v>
      </c>
    </row>
    <row r="638" spans="1:16" x14ac:dyDescent="0.3">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6">
        <f>INDEX(products!$A$1:$G$49,MATCH(orders!$D638,products!$A$1:$A$49,0),MATCH(orders!K$1,products!$A$1:$G$1,0))</f>
        <v>1</v>
      </c>
      <c r="L638" s="5">
        <f>INDEX(products!$A$1:$G$49,MATCH(orders!$D638,products!$A$1:$A$49,0),MATCH(orders!L$1,products!$A$1:$G$1,0))</f>
        <v>15.85</v>
      </c>
      <c r="M638" s="4">
        <f t="shared" si="27"/>
        <v>95.1</v>
      </c>
      <c r="N638" t="str">
        <f t="shared" si="28"/>
        <v>Librica</v>
      </c>
      <c r="O638" t="str">
        <f t="shared" si="29"/>
        <v>Light</v>
      </c>
      <c r="P638" t="str">
        <f>_xlfn.XLOOKUP(Table1[[#This Row],[Customer ID]],customers!$A$1:$A$1001,customers!$I$1:$I$1001,,0)</f>
        <v>Yes</v>
      </c>
    </row>
    <row r="639" spans="1:16" x14ac:dyDescent="0.3">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6">
        <f>INDEX(products!$A$1:$G$49,MATCH(orders!$D639,products!$A$1:$A$49,0),MATCH(orders!K$1,products!$A$1:$G$1,0))</f>
        <v>2.5</v>
      </c>
      <c r="L639" s="5">
        <f>INDEX(products!$A$1:$G$49,MATCH(orders!$D639,products!$A$1:$A$49,0),MATCH(orders!L$1,products!$A$1:$G$1,0))</f>
        <v>31.624999999999996</v>
      </c>
      <c r="M639" s="4">
        <f t="shared" si="27"/>
        <v>31.624999999999996</v>
      </c>
      <c r="N639" t="str">
        <f t="shared" si="28"/>
        <v>Excelsa</v>
      </c>
      <c r="O639" t="str">
        <f t="shared" si="29"/>
        <v>Medium</v>
      </c>
      <c r="P639" t="str">
        <f>_xlfn.XLOOKUP(Table1[[#This Row],[Customer ID]],customers!$A$1:$A$1001,customers!$I$1:$I$1001,,0)</f>
        <v>Yes</v>
      </c>
    </row>
    <row r="640" spans="1:16" x14ac:dyDescent="0.3">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6">
        <f>INDEX(products!$A$1:$G$49,MATCH(orders!$D640,products!$A$1:$A$49,0),MATCH(orders!K$1,products!$A$1:$G$1,0))</f>
        <v>2.5</v>
      </c>
      <c r="L640" s="5">
        <f>INDEX(products!$A$1:$G$49,MATCH(orders!$D640,products!$A$1:$A$49,0),MATCH(orders!L$1,products!$A$1:$G$1,0))</f>
        <v>25.874999999999996</v>
      </c>
      <c r="M640" s="4">
        <f t="shared" si="27"/>
        <v>77.624999999999986</v>
      </c>
      <c r="N640" t="str">
        <f t="shared" si="28"/>
        <v>Arabica</v>
      </c>
      <c r="O640" t="str">
        <f t="shared" si="29"/>
        <v>Medium</v>
      </c>
      <c r="P640" t="str">
        <f>_xlfn.XLOOKUP(Table1[[#This Row],[Customer ID]],customers!$A$1:$A$1001,customers!$I$1:$I$1001,,0)</f>
        <v>Yes</v>
      </c>
    </row>
    <row r="641" spans="1:16" x14ac:dyDescent="0.3">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6">
        <f>INDEX(products!$A$1:$G$49,MATCH(orders!$D641,products!$A$1:$A$49,0),MATCH(orders!K$1,products!$A$1:$G$1,0))</f>
        <v>0.2</v>
      </c>
      <c r="L641" s="5">
        <f>INDEX(products!$A$1:$G$49,MATCH(orders!$D641,products!$A$1:$A$49,0),MATCH(orders!L$1,products!$A$1:$G$1,0))</f>
        <v>3.8849999999999998</v>
      </c>
      <c r="M641" s="4">
        <f t="shared" si="27"/>
        <v>3.8849999999999998</v>
      </c>
      <c r="N641" t="str">
        <f t="shared" si="28"/>
        <v>Librica</v>
      </c>
      <c r="O641" t="str">
        <f t="shared" si="29"/>
        <v>Dark</v>
      </c>
      <c r="P641" t="str">
        <f>_xlfn.XLOOKUP(Table1[[#This Row],[Customer ID]],customers!$A$1:$A$1001,customers!$I$1:$I$1001,,0)</f>
        <v>Yes</v>
      </c>
    </row>
    <row r="642" spans="1:16" x14ac:dyDescent="0.3">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6">
        <f>INDEX(products!$A$1:$G$49,MATCH(orders!$D642,products!$A$1:$A$49,0),MATCH(orders!K$1,products!$A$1:$G$1,0))</f>
        <v>2.5</v>
      </c>
      <c r="L642" s="5">
        <f>INDEX(products!$A$1:$G$49,MATCH(orders!$D642,products!$A$1:$A$49,0),MATCH(orders!L$1,products!$A$1:$G$1,0))</f>
        <v>27.484999999999996</v>
      </c>
      <c r="M642" s="4">
        <f t="shared" si="27"/>
        <v>137.42499999999998</v>
      </c>
      <c r="N642" t="str">
        <f t="shared" si="28"/>
        <v>Robusta</v>
      </c>
      <c r="O642" t="str">
        <f t="shared" si="29"/>
        <v>Light</v>
      </c>
      <c r="P642" t="str">
        <f>_xlfn.XLOOKUP(Table1[[#This Row],[Customer ID]],customers!$A$1:$A$1001,customers!$I$1:$I$1001,,0)</f>
        <v>No</v>
      </c>
    </row>
    <row r="643" spans="1:16" x14ac:dyDescent="0.3">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6">
        <f>INDEX(products!$A$1:$G$49,MATCH(orders!$D643,products!$A$1:$A$49,0),MATCH(orders!K$1,products!$A$1:$G$1,0))</f>
        <v>1</v>
      </c>
      <c r="L643" s="5">
        <f>INDEX(products!$A$1:$G$49,MATCH(orders!$D643,products!$A$1:$A$49,0),MATCH(orders!L$1,products!$A$1:$G$1,0))</f>
        <v>11.95</v>
      </c>
      <c r="M643" s="4">
        <f t="shared" ref="M643:M706" si="30">L643*E643</f>
        <v>35.849999999999994</v>
      </c>
      <c r="N643" t="str">
        <f t="shared" ref="N643:N706" si="31">IF(I643="Rob","Robusta",IF(I643="Exc","Excelsa",IF(I643="Ara","Arabica",IF(I643="Lib","Librica",""))))</f>
        <v>Robusta</v>
      </c>
      <c r="O643" t="str">
        <f t="shared" ref="O643:O706" si="32">IF(J643="M","Medium",IF(J643="L","Light",IF(J643="D","Dark","")))</f>
        <v>Light</v>
      </c>
      <c r="P643" t="str">
        <f>_xlfn.XLOOKUP(Table1[[#This Row],[Customer ID]],customers!$A$1:$A$1001,customers!$I$1:$I$1001,,0)</f>
        <v>Yes</v>
      </c>
    </row>
    <row r="644" spans="1:16" x14ac:dyDescent="0.3">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6">
        <f>INDEX(products!$A$1:$G$49,MATCH(orders!$D644,products!$A$1:$A$49,0),MATCH(orders!K$1,products!$A$1:$G$1,0))</f>
        <v>0.2</v>
      </c>
      <c r="L644" s="5">
        <f>INDEX(products!$A$1:$G$49,MATCH(orders!$D644,products!$A$1:$A$49,0),MATCH(orders!L$1,products!$A$1:$G$1,0))</f>
        <v>4.125</v>
      </c>
      <c r="M644" s="4">
        <f t="shared" si="30"/>
        <v>8.25</v>
      </c>
      <c r="N644" t="str">
        <f t="shared" si="31"/>
        <v>Excelsa</v>
      </c>
      <c r="O644" t="str">
        <f t="shared" si="32"/>
        <v>Medium</v>
      </c>
      <c r="P644" t="str">
        <f>_xlfn.XLOOKUP(Table1[[#This Row],[Customer ID]],customers!$A$1:$A$1001,customers!$I$1:$I$1001,,0)</f>
        <v>Yes</v>
      </c>
    </row>
    <row r="645" spans="1:16" x14ac:dyDescent="0.3">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6">
        <f>INDEX(products!$A$1:$G$49,MATCH(orders!$D645,products!$A$1:$A$49,0),MATCH(orders!K$1,products!$A$1:$G$1,0))</f>
        <v>2.5</v>
      </c>
      <c r="L645" s="5">
        <f>INDEX(products!$A$1:$G$49,MATCH(orders!$D645,products!$A$1:$A$49,0),MATCH(orders!L$1,products!$A$1:$G$1,0))</f>
        <v>34.154999999999994</v>
      </c>
      <c r="M645" s="4">
        <f t="shared" si="30"/>
        <v>102.46499999999997</v>
      </c>
      <c r="N645" t="str">
        <f t="shared" si="31"/>
        <v>Excelsa</v>
      </c>
      <c r="O645" t="str">
        <f t="shared" si="32"/>
        <v>Light</v>
      </c>
      <c r="P645" t="str">
        <f>_xlfn.XLOOKUP(Table1[[#This Row],[Customer ID]],customers!$A$1:$A$1001,customers!$I$1:$I$1001,,0)</f>
        <v>Yes</v>
      </c>
    </row>
    <row r="646" spans="1:16" x14ac:dyDescent="0.3">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6">
        <f>INDEX(products!$A$1:$G$49,MATCH(orders!$D646,products!$A$1:$A$49,0),MATCH(orders!K$1,products!$A$1:$G$1,0))</f>
        <v>2.5</v>
      </c>
      <c r="L646" s="5">
        <f>INDEX(products!$A$1:$G$49,MATCH(orders!$D646,products!$A$1:$A$49,0),MATCH(orders!L$1,products!$A$1:$G$1,0))</f>
        <v>20.584999999999997</v>
      </c>
      <c r="M646" s="4">
        <f t="shared" si="30"/>
        <v>41.169999999999995</v>
      </c>
      <c r="N646" t="str">
        <f t="shared" si="31"/>
        <v>Robusta</v>
      </c>
      <c r="O646" t="str">
        <f t="shared" si="32"/>
        <v>Dark</v>
      </c>
      <c r="P646" t="str">
        <f>_xlfn.XLOOKUP(Table1[[#This Row],[Customer ID]],customers!$A$1:$A$1001,customers!$I$1:$I$1001,,0)</f>
        <v>No</v>
      </c>
    </row>
    <row r="647" spans="1:16" x14ac:dyDescent="0.3">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6">
        <f>INDEX(products!$A$1:$G$49,MATCH(orders!$D647,products!$A$1:$A$49,0),MATCH(orders!K$1,products!$A$1:$G$1,0))</f>
        <v>2.5</v>
      </c>
      <c r="L647" s="5">
        <f>INDEX(products!$A$1:$G$49,MATCH(orders!$D647,products!$A$1:$A$49,0),MATCH(orders!L$1,products!$A$1:$G$1,0))</f>
        <v>22.884999999999998</v>
      </c>
      <c r="M647" s="4">
        <f t="shared" si="30"/>
        <v>68.655000000000001</v>
      </c>
      <c r="N647" t="str">
        <f t="shared" si="31"/>
        <v>Arabica</v>
      </c>
      <c r="O647" t="str">
        <f t="shared" si="32"/>
        <v>Dark</v>
      </c>
      <c r="P647" t="str">
        <f>_xlfn.XLOOKUP(Table1[[#This Row],[Customer ID]],customers!$A$1:$A$1001,customers!$I$1:$I$1001,,0)</f>
        <v>Yes</v>
      </c>
    </row>
    <row r="648" spans="1:16" x14ac:dyDescent="0.3">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6">
        <f>INDEX(products!$A$1:$G$49,MATCH(orders!$D648,products!$A$1:$A$49,0),MATCH(orders!K$1,products!$A$1:$G$1,0))</f>
        <v>1</v>
      </c>
      <c r="L648" s="5">
        <f>INDEX(products!$A$1:$G$49,MATCH(orders!$D648,products!$A$1:$A$49,0),MATCH(orders!L$1,products!$A$1:$G$1,0))</f>
        <v>9.9499999999999993</v>
      </c>
      <c r="M648" s="4">
        <f t="shared" si="30"/>
        <v>9.9499999999999993</v>
      </c>
      <c r="N648" t="str">
        <f t="shared" si="31"/>
        <v>Arabica</v>
      </c>
      <c r="O648" t="str">
        <f t="shared" si="32"/>
        <v>Dark</v>
      </c>
      <c r="P648" t="str">
        <f>_xlfn.XLOOKUP(Table1[[#This Row],[Customer ID]],customers!$A$1:$A$1001,customers!$I$1:$I$1001,,0)</f>
        <v>Yes</v>
      </c>
    </row>
    <row r="649" spans="1:16" x14ac:dyDescent="0.3">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6">
        <f>INDEX(products!$A$1:$G$49,MATCH(orders!$D649,products!$A$1:$A$49,0),MATCH(orders!K$1,products!$A$1:$G$1,0))</f>
        <v>0.5</v>
      </c>
      <c r="L649" s="5">
        <f>INDEX(products!$A$1:$G$49,MATCH(orders!$D649,products!$A$1:$A$49,0),MATCH(orders!L$1,products!$A$1:$G$1,0))</f>
        <v>9.51</v>
      </c>
      <c r="M649" s="4">
        <f t="shared" si="30"/>
        <v>28.53</v>
      </c>
      <c r="N649" t="str">
        <f t="shared" si="31"/>
        <v>Librica</v>
      </c>
      <c r="O649" t="str">
        <f t="shared" si="32"/>
        <v>Light</v>
      </c>
      <c r="P649" t="str">
        <f>_xlfn.XLOOKUP(Table1[[#This Row],[Customer ID]],customers!$A$1:$A$1001,customers!$I$1:$I$1001,,0)</f>
        <v>Yes</v>
      </c>
    </row>
    <row r="650" spans="1:16" x14ac:dyDescent="0.3">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6">
        <f>INDEX(products!$A$1:$G$49,MATCH(orders!$D650,products!$A$1:$A$49,0),MATCH(orders!K$1,products!$A$1:$G$1,0))</f>
        <v>0.2</v>
      </c>
      <c r="L650" s="5">
        <f>INDEX(products!$A$1:$G$49,MATCH(orders!$D650,products!$A$1:$A$49,0),MATCH(orders!L$1,products!$A$1:$G$1,0))</f>
        <v>2.6849999999999996</v>
      </c>
      <c r="M650" s="4">
        <f t="shared" si="30"/>
        <v>16.11</v>
      </c>
      <c r="N650" t="str">
        <f t="shared" si="31"/>
        <v>Robusta</v>
      </c>
      <c r="O650" t="str">
        <f t="shared" si="32"/>
        <v>Dark</v>
      </c>
      <c r="P650" t="str">
        <f>_xlfn.XLOOKUP(Table1[[#This Row],[Customer ID]],customers!$A$1:$A$1001,customers!$I$1:$I$1001,,0)</f>
        <v>No</v>
      </c>
    </row>
    <row r="651" spans="1:16" x14ac:dyDescent="0.3">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6">
        <f>INDEX(products!$A$1:$G$49,MATCH(orders!$D651,products!$A$1:$A$49,0),MATCH(orders!K$1,products!$A$1:$G$1,0))</f>
        <v>1</v>
      </c>
      <c r="L651" s="5">
        <f>INDEX(products!$A$1:$G$49,MATCH(orders!$D651,products!$A$1:$A$49,0),MATCH(orders!L$1,products!$A$1:$G$1,0))</f>
        <v>15.85</v>
      </c>
      <c r="M651" s="4">
        <f t="shared" si="30"/>
        <v>95.1</v>
      </c>
      <c r="N651" t="str">
        <f t="shared" si="31"/>
        <v>Librica</v>
      </c>
      <c r="O651" t="str">
        <f t="shared" si="32"/>
        <v>Light</v>
      </c>
      <c r="P651" t="str">
        <f>_xlfn.XLOOKUP(Table1[[#This Row],[Customer ID]],customers!$A$1:$A$1001,customers!$I$1:$I$1001,,0)</f>
        <v>No</v>
      </c>
    </row>
    <row r="652" spans="1:16" x14ac:dyDescent="0.3">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6">
        <f>INDEX(products!$A$1:$G$49,MATCH(orders!$D652,products!$A$1:$A$49,0),MATCH(orders!K$1,products!$A$1:$G$1,0))</f>
        <v>0.5</v>
      </c>
      <c r="L652" s="5">
        <f>INDEX(products!$A$1:$G$49,MATCH(orders!$D652,products!$A$1:$A$49,0),MATCH(orders!L$1,products!$A$1:$G$1,0))</f>
        <v>5.3699999999999992</v>
      </c>
      <c r="M652" s="4">
        <f t="shared" si="30"/>
        <v>5.3699999999999992</v>
      </c>
      <c r="N652" t="str">
        <f t="shared" si="31"/>
        <v>Robusta</v>
      </c>
      <c r="O652" t="str">
        <f t="shared" si="32"/>
        <v>Dark</v>
      </c>
      <c r="P652" t="str">
        <f>_xlfn.XLOOKUP(Table1[[#This Row],[Customer ID]],customers!$A$1:$A$1001,customers!$I$1:$I$1001,,0)</f>
        <v>Yes</v>
      </c>
    </row>
    <row r="653" spans="1:16" x14ac:dyDescent="0.3">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6">
        <f>INDEX(products!$A$1:$G$49,MATCH(orders!$D653,products!$A$1:$A$49,0),MATCH(orders!K$1,products!$A$1:$G$1,0))</f>
        <v>1</v>
      </c>
      <c r="L653" s="5">
        <f>INDEX(products!$A$1:$G$49,MATCH(orders!$D653,products!$A$1:$A$49,0),MATCH(orders!L$1,products!$A$1:$G$1,0))</f>
        <v>11.95</v>
      </c>
      <c r="M653" s="4">
        <f t="shared" si="30"/>
        <v>47.8</v>
      </c>
      <c r="N653" t="str">
        <f t="shared" si="31"/>
        <v>Robusta</v>
      </c>
      <c r="O653" t="str">
        <f t="shared" si="32"/>
        <v>Light</v>
      </c>
      <c r="P653" t="str">
        <f>_xlfn.XLOOKUP(Table1[[#This Row],[Customer ID]],customers!$A$1:$A$1001,customers!$I$1:$I$1001,,0)</f>
        <v>No</v>
      </c>
    </row>
    <row r="654" spans="1:16" x14ac:dyDescent="0.3">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6">
        <f>INDEX(products!$A$1:$G$49,MATCH(orders!$D654,products!$A$1:$A$49,0),MATCH(orders!K$1,products!$A$1:$G$1,0))</f>
        <v>1</v>
      </c>
      <c r="L654" s="5">
        <f>INDEX(products!$A$1:$G$49,MATCH(orders!$D654,products!$A$1:$A$49,0),MATCH(orders!L$1,products!$A$1:$G$1,0))</f>
        <v>15.85</v>
      </c>
      <c r="M654" s="4">
        <f t="shared" si="30"/>
        <v>63.4</v>
      </c>
      <c r="N654" t="str">
        <f t="shared" si="31"/>
        <v>Librica</v>
      </c>
      <c r="O654" t="str">
        <f t="shared" si="32"/>
        <v>Light</v>
      </c>
      <c r="P654" t="str">
        <f>_xlfn.XLOOKUP(Table1[[#This Row],[Customer ID]],customers!$A$1:$A$1001,customers!$I$1:$I$1001,,0)</f>
        <v>No</v>
      </c>
    </row>
    <row r="655" spans="1:16" x14ac:dyDescent="0.3">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6">
        <f>INDEX(products!$A$1:$G$49,MATCH(orders!$D655,products!$A$1:$A$49,0),MATCH(orders!K$1,products!$A$1:$G$1,0))</f>
        <v>2.5</v>
      </c>
      <c r="L655" s="5">
        <f>INDEX(products!$A$1:$G$49,MATCH(orders!$D655,products!$A$1:$A$49,0),MATCH(orders!L$1,products!$A$1:$G$1,0))</f>
        <v>25.874999999999996</v>
      </c>
      <c r="M655" s="4">
        <f t="shared" si="30"/>
        <v>103.49999999999999</v>
      </c>
      <c r="N655" t="str">
        <f t="shared" si="31"/>
        <v>Arabica</v>
      </c>
      <c r="O655" t="str">
        <f t="shared" si="32"/>
        <v>Medium</v>
      </c>
      <c r="P655" t="str">
        <f>_xlfn.XLOOKUP(Table1[[#This Row],[Customer ID]],customers!$A$1:$A$1001,customers!$I$1:$I$1001,,0)</f>
        <v>No</v>
      </c>
    </row>
    <row r="656" spans="1:16" x14ac:dyDescent="0.3">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6">
        <f>INDEX(products!$A$1:$G$49,MATCH(orders!$D656,products!$A$1:$A$49,0),MATCH(orders!K$1,products!$A$1:$G$1,0))</f>
        <v>2.5</v>
      </c>
      <c r="L656" s="5">
        <f>INDEX(products!$A$1:$G$49,MATCH(orders!$D656,products!$A$1:$A$49,0),MATCH(orders!L$1,products!$A$1:$G$1,0))</f>
        <v>22.884999999999998</v>
      </c>
      <c r="M656" s="4">
        <f t="shared" si="30"/>
        <v>68.655000000000001</v>
      </c>
      <c r="N656" t="str">
        <f t="shared" si="31"/>
        <v>Arabica</v>
      </c>
      <c r="O656" t="str">
        <f t="shared" si="32"/>
        <v>Dark</v>
      </c>
      <c r="P656" t="str">
        <f>_xlfn.XLOOKUP(Table1[[#This Row],[Customer ID]],customers!$A$1:$A$1001,customers!$I$1:$I$1001,,0)</f>
        <v>No</v>
      </c>
    </row>
    <row r="657" spans="1:16" x14ac:dyDescent="0.3">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6">
        <f>INDEX(products!$A$1:$G$49,MATCH(orders!$D657,products!$A$1:$A$49,0),MATCH(orders!K$1,products!$A$1:$G$1,0))</f>
        <v>2.5</v>
      </c>
      <c r="L657" s="5">
        <f>INDEX(products!$A$1:$G$49,MATCH(orders!$D657,products!$A$1:$A$49,0),MATCH(orders!L$1,products!$A$1:$G$1,0))</f>
        <v>22.884999999999998</v>
      </c>
      <c r="M657" s="4">
        <f t="shared" si="30"/>
        <v>45.769999999999996</v>
      </c>
      <c r="N657" t="str">
        <f t="shared" si="31"/>
        <v>Robusta</v>
      </c>
      <c r="O657" t="str">
        <f t="shared" si="32"/>
        <v>Medium</v>
      </c>
      <c r="P657" t="str">
        <f>_xlfn.XLOOKUP(Table1[[#This Row],[Customer ID]],customers!$A$1:$A$1001,customers!$I$1:$I$1001,,0)</f>
        <v>Yes</v>
      </c>
    </row>
    <row r="658" spans="1:16" x14ac:dyDescent="0.3">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6">
        <f>INDEX(products!$A$1:$G$49,MATCH(orders!$D658,products!$A$1:$A$49,0),MATCH(orders!K$1,products!$A$1:$G$1,0))</f>
        <v>1</v>
      </c>
      <c r="L658" s="5">
        <f>INDEX(products!$A$1:$G$49,MATCH(orders!$D658,products!$A$1:$A$49,0),MATCH(orders!L$1,products!$A$1:$G$1,0))</f>
        <v>12.95</v>
      </c>
      <c r="M658" s="4">
        <f t="shared" si="30"/>
        <v>51.8</v>
      </c>
      <c r="N658" t="str">
        <f t="shared" si="31"/>
        <v>Librica</v>
      </c>
      <c r="O658" t="str">
        <f t="shared" si="32"/>
        <v>Dark</v>
      </c>
      <c r="P658" t="str">
        <f>_xlfn.XLOOKUP(Table1[[#This Row],[Customer ID]],customers!$A$1:$A$1001,customers!$I$1:$I$1001,,0)</f>
        <v>No</v>
      </c>
    </row>
    <row r="659" spans="1:16" x14ac:dyDescent="0.3">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6">
        <f>INDEX(products!$A$1:$G$49,MATCH(orders!$D659,products!$A$1:$A$49,0),MATCH(orders!K$1,products!$A$1:$G$1,0))</f>
        <v>0.5</v>
      </c>
      <c r="L659" s="5">
        <f>INDEX(products!$A$1:$G$49,MATCH(orders!$D659,products!$A$1:$A$49,0),MATCH(orders!L$1,products!$A$1:$G$1,0))</f>
        <v>6.75</v>
      </c>
      <c r="M659" s="4">
        <f t="shared" si="30"/>
        <v>13.5</v>
      </c>
      <c r="N659" t="str">
        <f t="shared" si="31"/>
        <v>Arabica</v>
      </c>
      <c r="O659" t="str">
        <f t="shared" si="32"/>
        <v>Medium</v>
      </c>
      <c r="P659" t="str">
        <f>_xlfn.XLOOKUP(Table1[[#This Row],[Customer ID]],customers!$A$1:$A$1001,customers!$I$1:$I$1001,,0)</f>
        <v>Yes</v>
      </c>
    </row>
    <row r="660" spans="1:16" x14ac:dyDescent="0.3">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6">
        <f>INDEX(products!$A$1:$G$49,MATCH(orders!$D660,products!$A$1:$A$49,0),MATCH(orders!K$1,products!$A$1:$G$1,0))</f>
        <v>0.5</v>
      </c>
      <c r="L660" s="5">
        <f>INDEX(products!$A$1:$G$49,MATCH(orders!$D660,products!$A$1:$A$49,0),MATCH(orders!L$1,products!$A$1:$G$1,0))</f>
        <v>8.25</v>
      </c>
      <c r="M660" s="4">
        <f t="shared" si="30"/>
        <v>24.75</v>
      </c>
      <c r="N660" t="str">
        <f t="shared" si="31"/>
        <v>Excelsa</v>
      </c>
      <c r="O660" t="str">
        <f t="shared" si="32"/>
        <v>Medium</v>
      </c>
      <c r="P660" t="str">
        <f>_xlfn.XLOOKUP(Table1[[#This Row],[Customer ID]],customers!$A$1:$A$1001,customers!$I$1:$I$1001,,0)</f>
        <v>Yes</v>
      </c>
    </row>
    <row r="661" spans="1:16" x14ac:dyDescent="0.3">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6">
        <f>INDEX(products!$A$1:$G$49,MATCH(orders!$D661,products!$A$1:$A$49,0),MATCH(orders!K$1,products!$A$1:$G$1,0))</f>
        <v>2.5</v>
      </c>
      <c r="L661" s="5">
        <f>INDEX(products!$A$1:$G$49,MATCH(orders!$D661,products!$A$1:$A$49,0),MATCH(orders!L$1,products!$A$1:$G$1,0))</f>
        <v>22.884999999999998</v>
      </c>
      <c r="M661" s="4">
        <f t="shared" si="30"/>
        <v>45.769999999999996</v>
      </c>
      <c r="N661" t="str">
        <f t="shared" si="31"/>
        <v>Arabica</v>
      </c>
      <c r="O661" t="str">
        <f t="shared" si="32"/>
        <v>Dark</v>
      </c>
      <c r="P661" t="str">
        <f>_xlfn.XLOOKUP(Table1[[#This Row],[Customer ID]],customers!$A$1:$A$1001,customers!$I$1:$I$1001,,0)</f>
        <v>Yes</v>
      </c>
    </row>
    <row r="662" spans="1:16" x14ac:dyDescent="0.3">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6">
        <f>INDEX(products!$A$1:$G$49,MATCH(orders!$D662,products!$A$1:$A$49,0),MATCH(orders!K$1,products!$A$1:$G$1,0))</f>
        <v>0.5</v>
      </c>
      <c r="L662" s="5">
        <f>INDEX(products!$A$1:$G$49,MATCH(orders!$D662,products!$A$1:$A$49,0),MATCH(orders!L$1,products!$A$1:$G$1,0))</f>
        <v>8.91</v>
      </c>
      <c r="M662" s="4">
        <f t="shared" si="30"/>
        <v>53.46</v>
      </c>
      <c r="N662" t="str">
        <f t="shared" si="31"/>
        <v>Excelsa</v>
      </c>
      <c r="O662" t="str">
        <f t="shared" si="32"/>
        <v>Light</v>
      </c>
      <c r="P662" t="str">
        <f>_xlfn.XLOOKUP(Table1[[#This Row],[Customer ID]],customers!$A$1:$A$1001,customers!$I$1:$I$1001,,0)</f>
        <v>No</v>
      </c>
    </row>
    <row r="663" spans="1:16" x14ac:dyDescent="0.3">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6">
        <f>INDEX(products!$A$1:$G$49,MATCH(orders!$D663,products!$A$1:$A$49,0),MATCH(orders!K$1,products!$A$1:$G$1,0))</f>
        <v>0.2</v>
      </c>
      <c r="L663" s="5">
        <f>INDEX(products!$A$1:$G$49,MATCH(orders!$D663,products!$A$1:$A$49,0),MATCH(orders!L$1,products!$A$1:$G$1,0))</f>
        <v>3.375</v>
      </c>
      <c r="M663" s="4">
        <f t="shared" si="30"/>
        <v>20.25</v>
      </c>
      <c r="N663" t="str">
        <f t="shared" si="31"/>
        <v>Arabica</v>
      </c>
      <c r="O663" t="str">
        <f t="shared" si="32"/>
        <v>Medium</v>
      </c>
      <c r="P663" t="str">
        <f>_xlfn.XLOOKUP(Table1[[#This Row],[Customer ID]],customers!$A$1:$A$1001,customers!$I$1:$I$1001,,0)</f>
        <v>Yes</v>
      </c>
    </row>
    <row r="664" spans="1:16" x14ac:dyDescent="0.3">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6">
        <f>INDEX(products!$A$1:$G$49,MATCH(orders!$D664,products!$A$1:$A$49,0),MATCH(orders!K$1,products!$A$1:$G$1,0))</f>
        <v>2.5</v>
      </c>
      <c r="L664" s="5">
        <f>INDEX(products!$A$1:$G$49,MATCH(orders!$D664,products!$A$1:$A$49,0),MATCH(orders!L$1,products!$A$1:$G$1,0))</f>
        <v>29.784999999999997</v>
      </c>
      <c r="M664" s="4">
        <f t="shared" si="30"/>
        <v>148.92499999999998</v>
      </c>
      <c r="N664" t="str">
        <f t="shared" si="31"/>
        <v>Librica</v>
      </c>
      <c r="O664" t="str">
        <f t="shared" si="32"/>
        <v>Dark</v>
      </c>
      <c r="P664" t="str">
        <f>_xlfn.XLOOKUP(Table1[[#This Row],[Customer ID]],customers!$A$1:$A$1001,customers!$I$1:$I$1001,,0)</f>
        <v>No</v>
      </c>
    </row>
    <row r="665" spans="1:16" x14ac:dyDescent="0.3">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6">
        <f>INDEX(products!$A$1:$G$49,MATCH(orders!$D665,products!$A$1:$A$49,0),MATCH(orders!K$1,products!$A$1:$G$1,0))</f>
        <v>1</v>
      </c>
      <c r="L665" s="5">
        <f>INDEX(products!$A$1:$G$49,MATCH(orders!$D665,products!$A$1:$A$49,0),MATCH(orders!L$1,products!$A$1:$G$1,0))</f>
        <v>11.25</v>
      </c>
      <c r="M665" s="4">
        <f t="shared" si="30"/>
        <v>67.5</v>
      </c>
      <c r="N665" t="str">
        <f t="shared" si="31"/>
        <v>Arabica</v>
      </c>
      <c r="O665" t="str">
        <f t="shared" si="32"/>
        <v>Medium</v>
      </c>
      <c r="P665" t="str">
        <f>_xlfn.XLOOKUP(Table1[[#This Row],[Customer ID]],customers!$A$1:$A$1001,customers!$I$1:$I$1001,,0)</f>
        <v>No</v>
      </c>
    </row>
    <row r="666" spans="1:16" x14ac:dyDescent="0.3">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6">
        <f>INDEX(products!$A$1:$G$49,MATCH(orders!$D666,products!$A$1:$A$49,0),MATCH(orders!K$1,products!$A$1:$G$1,0))</f>
        <v>1</v>
      </c>
      <c r="L666" s="5">
        <f>INDEX(products!$A$1:$G$49,MATCH(orders!$D666,products!$A$1:$A$49,0),MATCH(orders!L$1,products!$A$1:$G$1,0))</f>
        <v>12.15</v>
      </c>
      <c r="M666" s="4">
        <f t="shared" si="30"/>
        <v>72.900000000000006</v>
      </c>
      <c r="N666" t="str">
        <f t="shared" si="31"/>
        <v>Excelsa</v>
      </c>
      <c r="O666" t="str">
        <f t="shared" si="32"/>
        <v>Dark</v>
      </c>
      <c r="P666" t="str">
        <f>_xlfn.XLOOKUP(Table1[[#This Row],[Customer ID]],customers!$A$1:$A$1001,customers!$I$1:$I$1001,,0)</f>
        <v>No</v>
      </c>
    </row>
    <row r="667" spans="1:16" x14ac:dyDescent="0.3">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6">
        <f>INDEX(products!$A$1:$G$49,MATCH(orders!$D667,products!$A$1:$A$49,0),MATCH(orders!K$1,products!$A$1:$G$1,0))</f>
        <v>0.2</v>
      </c>
      <c r="L667" s="5">
        <f>INDEX(products!$A$1:$G$49,MATCH(orders!$D667,products!$A$1:$A$49,0),MATCH(orders!L$1,products!$A$1:$G$1,0))</f>
        <v>3.8849999999999998</v>
      </c>
      <c r="M667" s="4">
        <f t="shared" si="30"/>
        <v>7.77</v>
      </c>
      <c r="N667" t="str">
        <f t="shared" si="31"/>
        <v>Librica</v>
      </c>
      <c r="O667" t="str">
        <f t="shared" si="32"/>
        <v>Dark</v>
      </c>
      <c r="P667" t="str">
        <f>_xlfn.XLOOKUP(Table1[[#This Row],[Customer ID]],customers!$A$1:$A$1001,customers!$I$1:$I$1001,,0)</f>
        <v>No</v>
      </c>
    </row>
    <row r="668" spans="1:16" x14ac:dyDescent="0.3">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6">
        <f>INDEX(products!$A$1:$G$49,MATCH(orders!$D668,products!$A$1:$A$49,0),MATCH(orders!K$1,products!$A$1:$G$1,0))</f>
        <v>2.5</v>
      </c>
      <c r="L668" s="5">
        <f>INDEX(products!$A$1:$G$49,MATCH(orders!$D668,products!$A$1:$A$49,0),MATCH(orders!L$1,products!$A$1:$G$1,0))</f>
        <v>22.884999999999998</v>
      </c>
      <c r="M668" s="4">
        <f t="shared" si="30"/>
        <v>91.539999999999992</v>
      </c>
      <c r="N668" t="str">
        <f t="shared" si="31"/>
        <v>Arabica</v>
      </c>
      <c r="O668" t="str">
        <f t="shared" si="32"/>
        <v>Dark</v>
      </c>
      <c r="P668" t="str">
        <f>_xlfn.XLOOKUP(Table1[[#This Row],[Customer ID]],customers!$A$1:$A$1001,customers!$I$1:$I$1001,,0)</f>
        <v>No</v>
      </c>
    </row>
    <row r="669" spans="1:16" x14ac:dyDescent="0.3">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6">
        <f>INDEX(products!$A$1:$G$49,MATCH(orders!$D669,products!$A$1:$A$49,0),MATCH(orders!K$1,products!$A$1:$G$1,0))</f>
        <v>1</v>
      </c>
      <c r="L669" s="5">
        <f>INDEX(products!$A$1:$G$49,MATCH(orders!$D669,products!$A$1:$A$49,0),MATCH(orders!L$1,products!$A$1:$G$1,0))</f>
        <v>9.9499999999999993</v>
      </c>
      <c r="M669" s="4">
        <f t="shared" si="30"/>
        <v>59.699999999999996</v>
      </c>
      <c r="N669" t="str">
        <f t="shared" si="31"/>
        <v>Arabica</v>
      </c>
      <c r="O669" t="str">
        <f t="shared" si="32"/>
        <v>Dark</v>
      </c>
      <c r="P669" t="str">
        <f>_xlfn.XLOOKUP(Table1[[#This Row],[Customer ID]],customers!$A$1:$A$1001,customers!$I$1:$I$1001,,0)</f>
        <v>No</v>
      </c>
    </row>
    <row r="670" spans="1:16" x14ac:dyDescent="0.3">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6">
        <f>INDEX(products!$A$1:$G$49,MATCH(orders!$D670,products!$A$1:$A$49,0),MATCH(orders!K$1,products!$A$1:$G$1,0))</f>
        <v>2.5</v>
      </c>
      <c r="L670" s="5">
        <f>INDEX(products!$A$1:$G$49,MATCH(orders!$D670,products!$A$1:$A$49,0),MATCH(orders!L$1,products!$A$1:$G$1,0))</f>
        <v>27.484999999999996</v>
      </c>
      <c r="M670" s="4">
        <f t="shared" si="30"/>
        <v>137.42499999999998</v>
      </c>
      <c r="N670" t="str">
        <f t="shared" si="31"/>
        <v>Robusta</v>
      </c>
      <c r="O670" t="str">
        <f t="shared" si="32"/>
        <v>Light</v>
      </c>
      <c r="P670" t="str">
        <f>_xlfn.XLOOKUP(Table1[[#This Row],[Customer ID]],customers!$A$1:$A$1001,customers!$I$1:$I$1001,,0)</f>
        <v>Yes</v>
      </c>
    </row>
    <row r="671" spans="1:16" x14ac:dyDescent="0.3">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6">
        <f>INDEX(products!$A$1:$G$49,MATCH(orders!$D671,products!$A$1:$A$49,0),MATCH(orders!K$1,products!$A$1:$G$1,0))</f>
        <v>2.5</v>
      </c>
      <c r="L671" s="5">
        <f>INDEX(products!$A$1:$G$49,MATCH(orders!$D671,products!$A$1:$A$49,0),MATCH(orders!L$1,products!$A$1:$G$1,0))</f>
        <v>33.464999999999996</v>
      </c>
      <c r="M671" s="4">
        <f t="shared" si="30"/>
        <v>66.929999999999993</v>
      </c>
      <c r="N671" t="str">
        <f t="shared" si="31"/>
        <v>Librica</v>
      </c>
      <c r="O671" t="str">
        <f t="shared" si="32"/>
        <v>Medium</v>
      </c>
      <c r="P671" t="str">
        <f>_xlfn.XLOOKUP(Table1[[#This Row],[Customer ID]],customers!$A$1:$A$1001,customers!$I$1:$I$1001,,0)</f>
        <v>No</v>
      </c>
    </row>
    <row r="672" spans="1:16" x14ac:dyDescent="0.3">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6">
        <f>INDEX(products!$A$1:$G$49,MATCH(orders!$D672,products!$A$1:$A$49,0),MATCH(orders!K$1,products!$A$1:$G$1,0))</f>
        <v>0.2</v>
      </c>
      <c r="L672" s="5">
        <f>INDEX(products!$A$1:$G$49,MATCH(orders!$D672,products!$A$1:$A$49,0),MATCH(orders!L$1,products!$A$1:$G$1,0))</f>
        <v>4.3650000000000002</v>
      </c>
      <c r="M672" s="4">
        <f t="shared" si="30"/>
        <v>13.095000000000001</v>
      </c>
      <c r="N672" t="str">
        <f t="shared" si="31"/>
        <v>Librica</v>
      </c>
      <c r="O672" t="str">
        <f t="shared" si="32"/>
        <v>Medium</v>
      </c>
      <c r="P672" t="str">
        <f>_xlfn.XLOOKUP(Table1[[#This Row],[Customer ID]],customers!$A$1:$A$1001,customers!$I$1:$I$1001,,0)</f>
        <v>Yes</v>
      </c>
    </row>
    <row r="673" spans="1:16" x14ac:dyDescent="0.3">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6">
        <f>INDEX(products!$A$1:$G$49,MATCH(orders!$D673,products!$A$1:$A$49,0),MATCH(orders!K$1,products!$A$1:$G$1,0))</f>
        <v>1</v>
      </c>
      <c r="L673" s="5">
        <f>INDEX(products!$A$1:$G$49,MATCH(orders!$D673,products!$A$1:$A$49,0),MATCH(orders!L$1,products!$A$1:$G$1,0))</f>
        <v>11.95</v>
      </c>
      <c r="M673" s="4">
        <f t="shared" si="30"/>
        <v>59.75</v>
      </c>
      <c r="N673" t="str">
        <f t="shared" si="31"/>
        <v>Robusta</v>
      </c>
      <c r="O673" t="str">
        <f t="shared" si="32"/>
        <v>Light</v>
      </c>
      <c r="P673" t="str">
        <f>_xlfn.XLOOKUP(Table1[[#This Row],[Customer ID]],customers!$A$1:$A$1001,customers!$I$1:$I$1001,,0)</f>
        <v>No</v>
      </c>
    </row>
    <row r="674" spans="1:16" x14ac:dyDescent="0.3">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6">
        <f>INDEX(products!$A$1:$G$49,MATCH(orders!$D674,products!$A$1:$A$49,0),MATCH(orders!K$1,products!$A$1:$G$1,0))</f>
        <v>0.5</v>
      </c>
      <c r="L674" s="5">
        <f>INDEX(products!$A$1:$G$49,MATCH(orders!$D674,products!$A$1:$A$49,0),MATCH(orders!L$1,products!$A$1:$G$1,0))</f>
        <v>8.73</v>
      </c>
      <c r="M674" s="4">
        <f t="shared" si="30"/>
        <v>43.650000000000006</v>
      </c>
      <c r="N674" t="str">
        <f t="shared" si="31"/>
        <v>Librica</v>
      </c>
      <c r="O674" t="str">
        <f t="shared" si="32"/>
        <v>Medium</v>
      </c>
      <c r="P674" t="str">
        <f>_xlfn.XLOOKUP(Table1[[#This Row],[Customer ID]],customers!$A$1:$A$1001,customers!$I$1:$I$1001,,0)</f>
        <v>Yes</v>
      </c>
    </row>
    <row r="675" spans="1:16" x14ac:dyDescent="0.3">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6">
        <f>INDEX(products!$A$1:$G$49,MATCH(orders!$D675,products!$A$1:$A$49,0),MATCH(orders!K$1,products!$A$1:$G$1,0))</f>
        <v>1</v>
      </c>
      <c r="L675" s="5">
        <f>INDEX(products!$A$1:$G$49,MATCH(orders!$D675,products!$A$1:$A$49,0),MATCH(orders!L$1,products!$A$1:$G$1,0))</f>
        <v>13.75</v>
      </c>
      <c r="M675" s="4">
        <f t="shared" si="30"/>
        <v>82.5</v>
      </c>
      <c r="N675" t="str">
        <f t="shared" si="31"/>
        <v>Excelsa</v>
      </c>
      <c r="O675" t="str">
        <f t="shared" si="32"/>
        <v>Medium</v>
      </c>
      <c r="P675" t="str">
        <f>_xlfn.XLOOKUP(Table1[[#This Row],[Customer ID]],customers!$A$1:$A$1001,customers!$I$1:$I$1001,,0)</f>
        <v>Yes</v>
      </c>
    </row>
    <row r="676" spans="1:16" x14ac:dyDescent="0.3">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6">
        <f>INDEX(products!$A$1:$G$49,MATCH(orders!$D676,products!$A$1:$A$49,0),MATCH(orders!K$1,products!$A$1:$G$1,0))</f>
        <v>2.5</v>
      </c>
      <c r="L676" s="5">
        <f>INDEX(products!$A$1:$G$49,MATCH(orders!$D676,products!$A$1:$A$49,0),MATCH(orders!L$1,products!$A$1:$G$1,0))</f>
        <v>29.784999999999997</v>
      </c>
      <c r="M676" s="4">
        <f t="shared" si="30"/>
        <v>178.70999999999998</v>
      </c>
      <c r="N676" t="str">
        <f t="shared" si="31"/>
        <v>Arabica</v>
      </c>
      <c r="O676" t="str">
        <f t="shared" si="32"/>
        <v>Light</v>
      </c>
      <c r="P676" t="str">
        <f>_xlfn.XLOOKUP(Table1[[#This Row],[Customer ID]],customers!$A$1:$A$1001,customers!$I$1:$I$1001,,0)</f>
        <v>Yes</v>
      </c>
    </row>
    <row r="677" spans="1:16" x14ac:dyDescent="0.3">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6">
        <f>INDEX(products!$A$1:$G$49,MATCH(orders!$D677,products!$A$1:$A$49,0),MATCH(orders!K$1,products!$A$1:$G$1,0))</f>
        <v>2.5</v>
      </c>
      <c r="L677" s="5">
        <f>INDEX(products!$A$1:$G$49,MATCH(orders!$D677,products!$A$1:$A$49,0),MATCH(orders!L$1,products!$A$1:$G$1,0))</f>
        <v>29.784999999999997</v>
      </c>
      <c r="M677" s="4">
        <f t="shared" si="30"/>
        <v>119.13999999999999</v>
      </c>
      <c r="N677" t="str">
        <f t="shared" si="31"/>
        <v>Librica</v>
      </c>
      <c r="O677" t="str">
        <f t="shared" si="32"/>
        <v>Dark</v>
      </c>
      <c r="P677" t="str">
        <f>_xlfn.XLOOKUP(Table1[[#This Row],[Customer ID]],customers!$A$1:$A$1001,customers!$I$1:$I$1001,,0)</f>
        <v>Yes</v>
      </c>
    </row>
    <row r="678" spans="1:16" x14ac:dyDescent="0.3">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6">
        <f>INDEX(products!$A$1:$G$49,MATCH(orders!$D678,products!$A$1:$A$49,0),MATCH(orders!K$1,products!$A$1:$G$1,0))</f>
        <v>0.5</v>
      </c>
      <c r="L678" s="5">
        <f>INDEX(products!$A$1:$G$49,MATCH(orders!$D678,products!$A$1:$A$49,0),MATCH(orders!L$1,products!$A$1:$G$1,0))</f>
        <v>9.51</v>
      </c>
      <c r="M678" s="4">
        <f t="shared" si="30"/>
        <v>47.55</v>
      </c>
      <c r="N678" t="str">
        <f t="shared" si="31"/>
        <v>Librica</v>
      </c>
      <c r="O678" t="str">
        <f t="shared" si="32"/>
        <v>Light</v>
      </c>
      <c r="P678" t="str">
        <f>_xlfn.XLOOKUP(Table1[[#This Row],[Customer ID]],customers!$A$1:$A$1001,customers!$I$1:$I$1001,,0)</f>
        <v>No</v>
      </c>
    </row>
    <row r="679" spans="1:16" x14ac:dyDescent="0.3">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6">
        <f>INDEX(products!$A$1:$G$49,MATCH(orders!$D679,products!$A$1:$A$49,0),MATCH(orders!K$1,products!$A$1:$G$1,0))</f>
        <v>0.5</v>
      </c>
      <c r="L679" s="5">
        <f>INDEX(products!$A$1:$G$49,MATCH(orders!$D679,products!$A$1:$A$49,0),MATCH(orders!L$1,products!$A$1:$G$1,0))</f>
        <v>8.73</v>
      </c>
      <c r="M679" s="4">
        <f t="shared" si="30"/>
        <v>43.650000000000006</v>
      </c>
      <c r="N679" t="str">
        <f t="shared" si="31"/>
        <v>Librica</v>
      </c>
      <c r="O679" t="str">
        <f t="shared" si="32"/>
        <v>Medium</v>
      </c>
      <c r="P679" t="str">
        <f>_xlfn.XLOOKUP(Table1[[#This Row],[Customer ID]],customers!$A$1:$A$1001,customers!$I$1:$I$1001,,0)</f>
        <v>No</v>
      </c>
    </row>
    <row r="680" spans="1:16" x14ac:dyDescent="0.3">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6">
        <f>INDEX(products!$A$1:$G$49,MATCH(orders!$D680,products!$A$1:$A$49,0),MATCH(orders!K$1,products!$A$1:$G$1,0))</f>
        <v>2.5</v>
      </c>
      <c r="L680" s="5">
        <f>INDEX(products!$A$1:$G$49,MATCH(orders!$D680,products!$A$1:$A$49,0),MATCH(orders!L$1,products!$A$1:$G$1,0))</f>
        <v>29.784999999999997</v>
      </c>
      <c r="M680" s="4">
        <f t="shared" si="30"/>
        <v>178.70999999999998</v>
      </c>
      <c r="N680" t="str">
        <f t="shared" si="31"/>
        <v>Arabica</v>
      </c>
      <c r="O680" t="str">
        <f t="shared" si="32"/>
        <v>Light</v>
      </c>
      <c r="P680" t="str">
        <f>_xlfn.XLOOKUP(Table1[[#This Row],[Customer ID]],customers!$A$1:$A$1001,customers!$I$1:$I$1001,,0)</f>
        <v>Yes</v>
      </c>
    </row>
    <row r="681" spans="1:16" x14ac:dyDescent="0.3">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6">
        <f>INDEX(products!$A$1:$G$49,MATCH(orders!$D681,products!$A$1:$A$49,0),MATCH(orders!K$1,products!$A$1:$G$1,0))</f>
        <v>2.5</v>
      </c>
      <c r="L681" s="5">
        <f>INDEX(products!$A$1:$G$49,MATCH(orders!$D681,products!$A$1:$A$49,0),MATCH(orders!L$1,products!$A$1:$G$1,0))</f>
        <v>27.484999999999996</v>
      </c>
      <c r="M681" s="4">
        <f t="shared" si="30"/>
        <v>27.484999999999996</v>
      </c>
      <c r="N681" t="str">
        <f t="shared" si="31"/>
        <v>Robusta</v>
      </c>
      <c r="O681" t="str">
        <f t="shared" si="32"/>
        <v>Light</v>
      </c>
      <c r="P681" t="str">
        <f>_xlfn.XLOOKUP(Table1[[#This Row],[Customer ID]],customers!$A$1:$A$1001,customers!$I$1:$I$1001,,0)</f>
        <v>No</v>
      </c>
    </row>
    <row r="682" spans="1:16" x14ac:dyDescent="0.3">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6">
        <f>INDEX(products!$A$1:$G$49,MATCH(orders!$D682,products!$A$1:$A$49,0),MATCH(orders!K$1,products!$A$1:$G$1,0))</f>
        <v>1</v>
      </c>
      <c r="L682" s="5">
        <f>INDEX(products!$A$1:$G$49,MATCH(orders!$D682,products!$A$1:$A$49,0),MATCH(orders!L$1,products!$A$1:$G$1,0))</f>
        <v>11.25</v>
      </c>
      <c r="M682" s="4">
        <f t="shared" si="30"/>
        <v>56.25</v>
      </c>
      <c r="N682" t="str">
        <f t="shared" si="31"/>
        <v>Arabica</v>
      </c>
      <c r="O682" t="str">
        <f t="shared" si="32"/>
        <v>Medium</v>
      </c>
      <c r="P682" t="str">
        <f>_xlfn.XLOOKUP(Table1[[#This Row],[Customer ID]],customers!$A$1:$A$1001,customers!$I$1:$I$1001,,0)</f>
        <v>No</v>
      </c>
    </row>
    <row r="683" spans="1:16" x14ac:dyDescent="0.3">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6">
        <f>INDEX(products!$A$1:$G$49,MATCH(orders!$D683,products!$A$1:$A$49,0),MATCH(orders!K$1,products!$A$1:$G$1,0))</f>
        <v>0.2</v>
      </c>
      <c r="L683" s="5">
        <f>INDEX(products!$A$1:$G$49,MATCH(orders!$D683,products!$A$1:$A$49,0),MATCH(orders!L$1,products!$A$1:$G$1,0))</f>
        <v>4.7549999999999999</v>
      </c>
      <c r="M683" s="4">
        <f t="shared" si="30"/>
        <v>9.51</v>
      </c>
      <c r="N683" t="str">
        <f t="shared" si="31"/>
        <v>Librica</v>
      </c>
      <c r="O683" t="str">
        <f t="shared" si="32"/>
        <v>Light</v>
      </c>
      <c r="P683" t="str">
        <f>_xlfn.XLOOKUP(Table1[[#This Row],[Customer ID]],customers!$A$1:$A$1001,customers!$I$1:$I$1001,,0)</f>
        <v>Yes</v>
      </c>
    </row>
    <row r="684" spans="1:16" x14ac:dyDescent="0.3">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6">
        <f>INDEX(products!$A$1:$G$49,MATCH(orders!$D684,products!$A$1:$A$49,0),MATCH(orders!K$1,products!$A$1:$G$1,0))</f>
        <v>0.2</v>
      </c>
      <c r="L684" s="5">
        <f>INDEX(products!$A$1:$G$49,MATCH(orders!$D684,products!$A$1:$A$49,0),MATCH(orders!L$1,products!$A$1:$G$1,0))</f>
        <v>4.125</v>
      </c>
      <c r="M684" s="4">
        <f t="shared" si="30"/>
        <v>8.25</v>
      </c>
      <c r="N684" t="str">
        <f t="shared" si="31"/>
        <v>Excelsa</v>
      </c>
      <c r="O684" t="str">
        <f t="shared" si="32"/>
        <v>Medium</v>
      </c>
      <c r="P684" t="str">
        <f>_xlfn.XLOOKUP(Table1[[#This Row],[Customer ID]],customers!$A$1:$A$1001,customers!$I$1:$I$1001,,0)</f>
        <v>Yes</v>
      </c>
    </row>
    <row r="685" spans="1:16" x14ac:dyDescent="0.3">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6">
        <f>INDEX(products!$A$1:$G$49,MATCH(orders!$D685,products!$A$1:$A$49,0),MATCH(orders!K$1,products!$A$1:$G$1,0))</f>
        <v>0.5</v>
      </c>
      <c r="L685" s="5">
        <f>INDEX(products!$A$1:$G$49,MATCH(orders!$D685,products!$A$1:$A$49,0),MATCH(orders!L$1,products!$A$1:$G$1,0))</f>
        <v>7.77</v>
      </c>
      <c r="M685" s="4">
        <f t="shared" si="30"/>
        <v>46.62</v>
      </c>
      <c r="N685" t="str">
        <f t="shared" si="31"/>
        <v>Librica</v>
      </c>
      <c r="O685" t="str">
        <f t="shared" si="32"/>
        <v>Dark</v>
      </c>
      <c r="P685" t="str">
        <f>_xlfn.XLOOKUP(Table1[[#This Row],[Customer ID]],customers!$A$1:$A$1001,customers!$I$1:$I$1001,,0)</f>
        <v>No</v>
      </c>
    </row>
    <row r="686" spans="1:16" x14ac:dyDescent="0.3">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6">
        <f>INDEX(products!$A$1:$G$49,MATCH(orders!$D686,products!$A$1:$A$49,0),MATCH(orders!K$1,products!$A$1:$G$1,0))</f>
        <v>1</v>
      </c>
      <c r="L686" s="5">
        <f>INDEX(products!$A$1:$G$49,MATCH(orders!$D686,products!$A$1:$A$49,0),MATCH(orders!L$1,products!$A$1:$G$1,0))</f>
        <v>11.95</v>
      </c>
      <c r="M686" s="4">
        <f t="shared" si="30"/>
        <v>71.699999999999989</v>
      </c>
      <c r="N686" t="str">
        <f t="shared" si="31"/>
        <v>Robusta</v>
      </c>
      <c r="O686" t="str">
        <f t="shared" si="32"/>
        <v>Light</v>
      </c>
      <c r="P686" t="str">
        <f>_xlfn.XLOOKUP(Table1[[#This Row],[Customer ID]],customers!$A$1:$A$1001,customers!$I$1:$I$1001,,0)</f>
        <v>No</v>
      </c>
    </row>
    <row r="687" spans="1:16" x14ac:dyDescent="0.3">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6">
        <f>INDEX(products!$A$1:$G$49,MATCH(orders!$D687,products!$A$1:$A$49,0),MATCH(orders!K$1,products!$A$1:$G$1,0))</f>
        <v>2.5</v>
      </c>
      <c r="L687" s="5">
        <f>INDEX(products!$A$1:$G$49,MATCH(orders!$D687,products!$A$1:$A$49,0),MATCH(orders!L$1,products!$A$1:$G$1,0))</f>
        <v>36.454999999999998</v>
      </c>
      <c r="M687" s="4">
        <f t="shared" si="30"/>
        <v>72.91</v>
      </c>
      <c r="N687" t="str">
        <f t="shared" si="31"/>
        <v>Librica</v>
      </c>
      <c r="O687" t="str">
        <f t="shared" si="32"/>
        <v>Light</v>
      </c>
      <c r="P687" t="str">
        <f>_xlfn.XLOOKUP(Table1[[#This Row],[Customer ID]],customers!$A$1:$A$1001,customers!$I$1:$I$1001,,0)</f>
        <v>Yes</v>
      </c>
    </row>
    <row r="688" spans="1:16" x14ac:dyDescent="0.3">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6">
        <f>INDEX(products!$A$1:$G$49,MATCH(orders!$D688,products!$A$1:$A$49,0),MATCH(orders!K$1,products!$A$1:$G$1,0))</f>
        <v>0.2</v>
      </c>
      <c r="L688" s="5">
        <f>INDEX(products!$A$1:$G$49,MATCH(orders!$D688,products!$A$1:$A$49,0),MATCH(orders!L$1,products!$A$1:$G$1,0))</f>
        <v>2.6849999999999996</v>
      </c>
      <c r="M688" s="4">
        <f t="shared" si="30"/>
        <v>8.0549999999999997</v>
      </c>
      <c r="N688" t="str">
        <f t="shared" si="31"/>
        <v>Robusta</v>
      </c>
      <c r="O688" t="str">
        <f t="shared" si="32"/>
        <v>Dark</v>
      </c>
      <c r="P688" t="str">
        <f>_xlfn.XLOOKUP(Table1[[#This Row],[Customer ID]],customers!$A$1:$A$1001,customers!$I$1:$I$1001,,0)</f>
        <v>Yes</v>
      </c>
    </row>
    <row r="689" spans="1:16" x14ac:dyDescent="0.3">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6">
        <f>INDEX(products!$A$1:$G$49,MATCH(orders!$D689,products!$A$1:$A$49,0),MATCH(orders!K$1,products!$A$1:$G$1,0))</f>
        <v>0.5</v>
      </c>
      <c r="L689" s="5">
        <f>INDEX(products!$A$1:$G$49,MATCH(orders!$D689,products!$A$1:$A$49,0),MATCH(orders!L$1,products!$A$1:$G$1,0))</f>
        <v>8.25</v>
      </c>
      <c r="M689" s="4">
        <f t="shared" si="30"/>
        <v>16.5</v>
      </c>
      <c r="N689" t="str">
        <f t="shared" si="31"/>
        <v>Excelsa</v>
      </c>
      <c r="O689" t="str">
        <f t="shared" si="32"/>
        <v>Medium</v>
      </c>
      <c r="P689" t="str">
        <f>_xlfn.XLOOKUP(Table1[[#This Row],[Customer ID]],customers!$A$1:$A$1001,customers!$I$1:$I$1001,,0)</f>
        <v>No</v>
      </c>
    </row>
    <row r="690" spans="1:16" x14ac:dyDescent="0.3">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6">
        <f>INDEX(products!$A$1:$G$49,MATCH(orders!$D690,products!$A$1:$A$49,0),MATCH(orders!K$1,products!$A$1:$G$1,0))</f>
        <v>1</v>
      </c>
      <c r="L690" s="5">
        <f>INDEX(products!$A$1:$G$49,MATCH(orders!$D690,products!$A$1:$A$49,0),MATCH(orders!L$1,products!$A$1:$G$1,0))</f>
        <v>12.95</v>
      </c>
      <c r="M690" s="4">
        <f t="shared" si="30"/>
        <v>64.75</v>
      </c>
      <c r="N690" t="str">
        <f t="shared" si="31"/>
        <v>Arabica</v>
      </c>
      <c r="O690" t="str">
        <f t="shared" si="32"/>
        <v>Light</v>
      </c>
      <c r="P690" t="str">
        <f>_xlfn.XLOOKUP(Table1[[#This Row],[Customer ID]],customers!$A$1:$A$1001,customers!$I$1:$I$1001,,0)</f>
        <v>No</v>
      </c>
    </row>
    <row r="691" spans="1:16" x14ac:dyDescent="0.3">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6">
        <f>INDEX(products!$A$1:$G$49,MATCH(orders!$D691,products!$A$1:$A$49,0),MATCH(orders!K$1,products!$A$1:$G$1,0))</f>
        <v>0.5</v>
      </c>
      <c r="L691" s="5">
        <f>INDEX(products!$A$1:$G$49,MATCH(orders!$D691,products!$A$1:$A$49,0),MATCH(orders!L$1,products!$A$1:$G$1,0))</f>
        <v>6.75</v>
      </c>
      <c r="M691" s="4">
        <f t="shared" si="30"/>
        <v>33.75</v>
      </c>
      <c r="N691" t="str">
        <f t="shared" si="31"/>
        <v>Arabica</v>
      </c>
      <c r="O691" t="str">
        <f t="shared" si="32"/>
        <v>Medium</v>
      </c>
      <c r="P691" t="str">
        <f>_xlfn.XLOOKUP(Table1[[#This Row],[Customer ID]],customers!$A$1:$A$1001,customers!$I$1:$I$1001,,0)</f>
        <v>No</v>
      </c>
    </row>
    <row r="692" spans="1:16" x14ac:dyDescent="0.3">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6">
        <f>INDEX(products!$A$1:$G$49,MATCH(orders!$D692,products!$A$1:$A$49,0),MATCH(orders!K$1,products!$A$1:$G$1,0))</f>
        <v>2.5</v>
      </c>
      <c r="L692" s="5">
        <f>INDEX(products!$A$1:$G$49,MATCH(orders!$D692,products!$A$1:$A$49,0),MATCH(orders!L$1,products!$A$1:$G$1,0))</f>
        <v>29.784999999999997</v>
      </c>
      <c r="M692" s="4">
        <f t="shared" si="30"/>
        <v>178.70999999999998</v>
      </c>
      <c r="N692" t="str">
        <f t="shared" si="31"/>
        <v>Librica</v>
      </c>
      <c r="O692" t="str">
        <f t="shared" si="32"/>
        <v>Dark</v>
      </c>
      <c r="P692" t="str">
        <f>_xlfn.XLOOKUP(Table1[[#This Row],[Customer ID]],customers!$A$1:$A$1001,customers!$I$1:$I$1001,,0)</f>
        <v>No</v>
      </c>
    </row>
    <row r="693" spans="1:16" x14ac:dyDescent="0.3">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6">
        <f>INDEX(products!$A$1:$G$49,MATCH(orders!$D693,products!$A$1:$A$49,0),MATCH(orders!K$1,products!$A$1:$G$1,0))</f>
        <v>1</v>
      </c>
      <c r="L693" s="5">
        <f>INDEX(products!$A$1:$G$49,MATCH(orders!$D693,products!$A$1:$A$49,0),MATCH(orders!L$1,products!$A$1:$G$1,0))</f>
        <v>11.25</v>
      </c>
      <c r="M693" s="4">
        <f t="shared" si="30"/>
        <v>22.5</v>
      </c>
      <c r="N693" t="str">
        <f t="shared" si="31"/>
        <v>Arabica</v>
      </c>
      <c r="O693" t="str">
        <f t="shared" si="32"/>
        <v>Medium</v>
      </c>
      <c r="P693" t="str">
        <f>_xlfn.XLOOKUP(Table1[[#This Row],[Customer ID]],customers!$A$1:$A$1001,customers!$I$1:$I$1001,,0)</f>
        <v>No</v>
      </c>
    </row>
    <row r="694" spans="1:16" x14ac:dyDescent="0.3">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6">
        <f>INDEX(products!$A$1:$G$49,MATCH(orders!$D694,products!$A$1:$A$49,0),MATCH(orders!K$1,products!$A$1:$G$1,0))</f>
        <v>1</v>
      </c>
      <c r="L694" s="5">
        <f>INDEX(products!$A$1:$G$49,MATCH(orders!$D694,products!$A$1:$A$49,0),MATCH(orders!L$1,products!$A$1:$G$1,0))</f>
        <v>12.95</v>
      </c>
      <c r="M694" s="4">
        <f t="shared" si="30"/>
        <v>12.95</v>
      </c>
      <c r="N694" t="str">
        <f t="shared" si="31"/>
        <v>Librica</v>
      </c>
      <c r="O694" t="str">
        <f t="shared" si="32"/>
        <v>Dark</v>
      </c>
      <c r="P694" t="str">
        <f>_xlfn.XLOOKUP(Table1[[#This Row],[Customer ID]],customers!$A$1:$A$1001,customers!$I$1:$I$1001,,0)</f>
        <v>No</v>
      </c>
    </row>
    <row r="695" spans="1:16" x14ac:dyDescent="0.3">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6">
        <f>INDEX(products!$A$1:$G$49,MATCH(orders!$D695,products!$A$1:$A$49,0),MATCH(orders!K$1,products!$A$1:$G$1,0))</f>
        <v>2.5</v>
      </c>
      <c r="L695" s="5">
        <f>INDEX(products!$A$1:$G$49,MATCH(orders!$D695,products!$A$1:$A$49,0),MATCH(orders!L$1,products!$A$1:$G$1,0))</f>
        <v>25.874999999999996</v>
      </c>
      <c r="M695" s="4">
        <f t="shared" si="30"/>
        <v>51.749999999999993</v>
      </c>
      <c r="N695" t="str">
        <f t="shared" si="31"/>
        <v>Arabica</v>
      </c>
      <c r="O695" t="str">
        <f t="shared" si="32"/>
        <v>Medium</v>
      </c>
      <c r="P695" t="str">
        <f>_xlfn.XLOOKUP(Table1[[#This Row],[Customer ID]],customers!$A$1:$A$1001,customers!$I$1:$I$1001,,0)</f>
        <v>Yes</v>
      </c>
    </row>
    <row r="696" spans="1:16" x14ac:dyDescent="0.3">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6">
        <f>INDEX(products!$A$1:$G$49,MATCH(orders!$D696,products!$A$1:$A$49,0),MATCH(orders!K$1,products!$A$1:$G$1,0))</f>
        <v>0.5</v>
      </c>
      <c r="L696" s="5">
        <f>INDEX(products!$A$1:$G$49,MATCH(orders!$D696,products!$A$1:$A$49,0),MATCH(orders!L$1,products!$A$1:$G$1,0))</f>
        <v>7.29</v>
      </c>
      <c r="M696" s="4">
        <f t="shared" si="30"/>
        <v>36.450000000000003</v>
      </c>
      <c r="N696" t="str">
        <f t="shared" si="31"/>
        <v>Excelsa</v>
      </c>
      <c r="O696" t="str">
        <f t="shared" si="32"/>
        <v>Dark</v>
      </c>
      <c r="P696" t="str">
        <f>_xlfn.XLOOKUP(Table1[[#This Row],[Customer ID]],customers!$A$1:$A$1001,customers!$I$1:$I$1001,,0)</f>
        <v>No</v>
      </c>
    </row>
    <row r="697" spans="1:16" x14ac:dyDescent="0.3">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6">
        <f>INDEX(products!$A$1:$G$49,MATCH(orders!$D697,products!$A$1:$A$49,0),MATCH(orders!K$1,products!$A$1:$G$1,0))</f>
        <v>2.5</v>
      </c>
      <c r="L697" s="5">
        <f>INDEX(products!$A$1:$G$49,MATCH(orders!$D697,products!$A$1:$A$49,0),MATCH(orders!L$1,products!$A$1:$G$1,0))</f>
        <v>36.454999999999998</v>
      </c>
      <c r="M697" s="4">
        <f t="shared" si="30"/>
        <v>182.27499999999998</v>
      </c>
      <c r="N697" t="str">
        <f t="shared" si="31"/>
        <v>Librica</v>
      </c>
      <c r="O697" t="str">
        <f t="shared" si="32"/>
        <v>Light</v>
      </c>
      <c r="P697" t="str">
        <f>_xlfn.XLOOKUP(Table1[[#This Row],[Customer ID]],customers!$A$1:$A$1001,customers!$I$1:$I$1001,,0)</f>
        <v>Yes</v>
      </c>
    </row>
    <row r="698" spans="1:16" x14ac:dyDescent="0.3">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6">
        <f>INDEX(products!$A$1:$G$49,MATCH(orders!$D698,products!$A$1:$A$49,0),MATCH(orders!K$1,products!$A$1:$G$1,0))</f>
        <v>0.5</v>
      </c>
      <c r="L698" s="5">
        <f>INDEX(products!$A$1:$G$49,MATCH(orders!$D698,products!$A$1:$A$49,0),MATCH(orders!L$1,products!$A$1:$G$1,0))</f>
        <v>7.77</v>
      </c>
      <c r="M698" s="4">
        <f t="shared" si="30"/>
        <v>31.08</v>
      </c>
      <c r="N698" t="str">
        <f t="shared" si="31"/>
        <v>Librica</v>
      </c>
      <c r="O698" t="str">
        <f t="shared" si="32"/>
        <v>Dark</v>
      </c>
      <c r="P698" t="str">
        <f>_xlfn.XLOOKUP(Table1[[#This Row],[Customer ID]],customers!$A$1:$A$1001,customers!$I$1:$I$1001,,0)</f>
        <v>No</v>
      </c>
    </row>
    <row r="699" spans="1:16" x14ac:dyDescent="0.3">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6">
        <f>INDEX(products!$A$1:$G$49,MATCH(orders!$D699,products!$A$1:$A$49,0),MATCH(orders!K$1,products!$A$1:$G$1,0))</f>
        <v>0.5</v>
      </c>
      <c r="L699" s="5">
        <f>INDEX(products!$A$1:$G$49,MATCH(orders!$D699,products!$A$1:$A$49,0),MATCH(orders!L$1,products!$A$1:$G$1,0))</f>
        <v>6.75</v>
      </c>
      <c r="M699" s="4">
        <f t="shared" si="30"/>
        <v>20.25</v>
      </c>
      <c r="N699" t="str">
        <f t="shared" si="31"/>
        <v>Arabica</v>
      </c>
      <c r="O699" t="str">
        <f t="shared" si="32"/>
        <v>Medium</v>
      </c>
      <c r="P699" t="str">
        <f>_xlfn.XLOOKUP(Table1[[#This Row],[Customer ID]],customers!$A$1:$A$1001,customers!$I$1:$I$1001,,0)</f>
        <v>No</v>
      </c>
    </row>
    <row r="700" spans="1:16" x14ac:dyDescent="0.3">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6">
        <f>INDEX(products!$A$1:$G$49,MATCH(orders!$D700,products!$A$1:$A$49,0),MATCH(orders!K$1,products!$A$1:$G$1,0))</f>
        <v>1</v>
      </c>
      <c r="L700" s="5">
        <f>INDEX(products!$A$1:$G$49,MATCH(orders!$D700,products!$A$1:$A$49,0),MATCH(orders!L$1,products!$A$1:$G$1,0))</f>
        <v>12.95</v>
      </c>
      <c r="M700" s="4">
        <f t="shared" si="30"/>
        <v>25.9</v>
      </c>
      <c r="N700" t="str">
        <f t="shared" si="31"/>
        <v>Librica</v>
      </c>
      <c r="O700" t="str">
        <f t="shared" si="32"/>
        <v>Dark</v>
      </c>
      <c r="P700" t="str">
        <f>_xlfn.XLOOKUP(Table1[[#This Row],[Customer ID]],customers!$A$1:$A$1001,customers!$I$1:$I$1001,,0)</f>
        <v>No</v>
      </c>
    </row>
    <row r="701" spans="1:16" x14ac:dyDescent="0.3">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6">
        <f>INDEX(products!$A$1:$G$49,MATCH(orders!$D701,products!$A$1:$A$49,0),MATCH(orders!K$1,products!$A$1:$G$1,0))</f>
        <v>0.5</v>
      </c>
      <c r="L701" s="5">
        <f>INDEX(products!$A$1:$G$49,MATCH(orders!$D701,products!$A$1:$A$49,0),MATCH(orders!L$1,products!$A$1:$G$1,0))</f>
        <v>5.97</v>
      </c>
      <c r="M701" s="4">
        <f t="shared" si="30"/>
        <v>23.88</v>
      </c>
      <c r="N701" t="str">
        <f t="shared" si="31"/>
        <v>Arabica</v>
      </c>
      <c r="O701" t="str">
        <f t="shared" si="32"/>
        <v>Dark</v>
      </c>
      <c r="P701" t="str">
        <f>_xlfn.XLOOKUP(Table1[[#This Row],[Customer ID]],customers!$A$1:$A$1001,customers!$I$1:$I$1001,,0)</f>
        <v>Yes</v>
      </c>
    </row>
    <row r="702" spans="1:16" x14ac:dyDescent="0.3">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6">
        <f>INDEX(products!$A$1:$G$49,MATCH(orders!$D702,products!$A$1:$A$49,0),MATCH(orders!K$1,products!$A$1:$G$1,0))</f>
        <v>0.5</v>
      </c>
      <c r="L702" s="5">
        <f>INDEX(products!$A$1:$G$49,MATCH(orders!$D702,products!$A$1:$A$49,0),MATCH(orders!L$1,products!$A$1:$G$1,0))</f>
        <v>9.51</v>
      </c>
      <c r="M702" s="4">
        <f t="shared" si="30"/>
        <v>19.02</v>
      </c>
      <c r="N702" t="str">
        <f t="shared" si="31"/>
        <v>Librica</v>
      </c>
      <c r="O702" t="str">
        <f t="shared" si="32"/>
        <v>Light</v>
      </c>
      <c r="P702" t="str">
        <f>_xlfn.XLOOKUP(Table1[[#This Row],[Customer ID]],customers!$A$1:$A$1001,customers!$I$1:$I$1001,,0)</f>
        <v>No</v>
      </c>
    </row>
    <row r="703" spans="1:16" x14ac:dyDescent="0.3">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6">
        <f>INDEX(products!$A$1:$G$49,MATCH(orders!$D703,products!$A$1:$A$49,0),MATCH(orders!K$1,products!$A$1:$G$1,0))</f>
        <v>0.5</v>
      </c>
      <c r="L703" s="5">
        <f>INDEX(products!$A$1:$G$49,MATCH(orders!$D703,products!$A$1:$A$49,0),MATCH(orders!L$1,products!$A$1:$G$1,0))</f>
        <v>5.97</v>
      </c>
      <c r="M703" s="4">
        <f t="shared" si="30"/>
        <v>29.849999999999998</v>
      </c>
      <c r="N703" t="str">
        <f t="shared" si="31"/>
        <v>Arabica</v>
      </c>
      <c r="O703" t="str">
        <f t="shared" si="32"/>
        <v>Dark</v>
      </c>
      <c r="P703" t="str">
        <f>_xlfn.XLOOKUP(Table1[[#This Row],[Customer ID]],customers!$A$1:$A$1001,customers!$I$1:$I$1001,,0)</f>
        <v>Yes</v>
      </c>
    </row>
    <row r="704" spans="1:16" x14ac:dyDescent="0.3">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6">
        <f>INDEX(products!$A$1:$G$49,MATCH(orders!$D704,products!$A$1:$A$49,0),MATCH(orders!K$1,products!$A$1:$G$1,0))</f>
        <v>0.5</v>
      </c>
      <c r="L704" s="5">
        <f>INDEX(products!$A$1:$G$49,MATCH(orders!$D704,products!$A$1:$A$49,0),MATCH(orders!L$1,products!$A$1:$G$1,0))</f>
        <v>7.77</v>
      </c>
      <c r="M704" s="4">
        <f t="shared" si="30"/>
        <v>7.77</v>
      </c>
      <c r="N704" t="str">
        <f t="shared" si="31"/>
        <v>Arabica</v>
      </c>
      <c r="O704" t="str">
        <f t="shared" si="32"/>
        <v>Light</v>
      </c>
      <c r="P704" t="str">
        <f>_xlfn.XLOOKUP(Table1[[#This Row],[Customer ID]],customers!$A$1:$A$1001,customers!$I$1:$I$1001,,0)</f>
        <v>Yes</v>
      </c>
    </row>
    <row r="705" spans="1:16" x14ac:dyDescent="0.3">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6">
        <f>INDEX(products!$A$1:$G$49,MATCH(orders!$D705,products!$A$1:$A$49,0),MATCH(orders!K$1,products!$A$1:$G$1,0))</f>
        <v>2.5</v>
      </c>
      <c r="L705" s="5">
        <f>INDEX(products!$A$1:$G$49,MATCH(orders!$D705,products!$A$1:$A$49,0),MATCH(orders!L$1,products!$A$1:$G$1,0))</f>
        <v>29.784999999999997</v>
      </c>
      <c r="M705" s="4">
        <f t="shared" si="30"/>
        <v>119.13999999999999</v>
      </c>
      <c r="N705" t="str">
        <f t="shared" si="31"/>
        <v>Librica</v>
      </c>
      <c r="O705" t="str">
        <f t="shared" si="32"/>
        <v>Dark</v>
      </c>
      <c r="P705" t="str">
        <f>_xlfn.XLOOKUP(Table1[[#This Row],[Customer ID]],customers!$A$1:$A$1001,customers!$I$1:$I$1001,,0)</f>
        <v>Yes</v>
      </c>
    </row>
    <row r="706" spans="1:16" x14ac:dyDescent="0.3">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6">
        <f>INDEX(products!$A$1:$G$49,MATCH(orders!$D706,products!$A$1:$A$49,0),MATCH(orders!K$1,products!$A$1:$G$1,0))</f>
        <v>0.2</v>
      </c>
      <c r="L706" s="5">
        <f>INDEX(products!$A$1:$G$49,MATCH(orders!$D706,products!$A$1:$A$49,0),MATCH(orders!L$1,products!$A$1:$G$1,0))</f>
        <v>3.645</v>
      </c>
      <c r="M706" s="4">
        <f t="shared" si="30"/>
        <v>21.87</v>
      </c>
      <c r="N706" t="str">
        <f t="shared" si="31"/>
        <v>Excelsa</v>
      </c>
      <c r="O706" t="str">
        <f t="shared" si="32"/>
        <v>Dark</v>
      </c>
      <c r="P706" t="str">
        <f>_xlfn.XLOOKUP(Table1[[#This Row],[Customer ID]],customers!$A$1:$A$1001,customers!$I$1:$I$1001,,0)</f>
        <v>Yes</v>
      </c>
    </row>
    <row r="707" spans="1:16" x14ac:dyDescent="0.3">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6">
        <f>INDEX(products!$A$1:$G$49,MATCH(orders!$D707,products!$A$1:$A$49,0),MATCH(orders!K$1,products!$A$1:$G$1,0))</f>
        <v>0.5</v>
      </c>
      <c r="L707" s="5">
        <f>INDEX(products!$A$1:$G$49,MATCH(orders!$D707,products!$A$1:$A$49,0),MATCH(orders!L$1,products!$A$1:$G$1,0))</f>
        <v>8.91</v>
      </c>
      <c r="M707" s="4">
        <f t="shared" ref="M707:M770" si="33">L707*E707</f>
        <v>17.82</v>
      </c>
      <c r="N707" t="str">
        <f t="shared" ref="N707:N770" si="34">IF(I707="Rob","Robusta",IF(I707="Exc","Excelsa",IF(I707="Ara","Arabica",IF(I707="Lib","Librica",""))))</f>
        <v>Excelsa</v>
      </c>
      <c r="O707" t="str">
        <f t="shared" ref="O707:O770" si="35">IF(J707="M","Medium",IF(J707="L","Light",IF(J707="D","Dark","")))</f>
        <v>Light</v>
      </c>
      <c r="P707" t="str">
        <f>_xlfn.XLOOKUP(Table1[[#This Row],[Customer ID]],customers!$A$1:$A$1001,customers!$I$1:$I$1001,,0)</f>
        <v>No</v>
      </c>
    </row>
    <row r="708" spans="1:16" x14ac:dyDescent="0.3">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6">
        <f>INDEX(products!$A$1:$G$49,MATCH(orders!$D708,products!$A$1:$A$49,0),MATCH(orders!K$1,products!$A$1:$G$1,0))</f>
        <v>0.2</v>
      </c>
      <c r="L708" s="5">
        <f>INDEX(products!$A$1:$G$49,MATCH(orders!$D708,products!$A$1:$A$49,0),MATCH(orders!L$1,products!$A$1:$G$1,0))</f>
        <v>4.125</v>
      </c>
      <c r="M708" s="4">
        <f t="shared" si="33"/>
        <v>12.375</v>
      </c>
      <c r="N708" t="str">
        <f t="shared" si="34"/>
        <v>Excelsa</v>
      </c>
      <c r="O708" t="str">
        <f t="shared" si="35"/>
        <v>Medium</v>
      </c>
      <c r="P708" t="str">
        <f>_xlfn.XLOOKUP(Table1[[#This Row],[Customer ID]],customers!$A$1:$A$1001,customers!$I$1:$I$1001,,0)</f>
        <v>No</v>
      </c>
    </row>
    <row r="709" spans="1:16" x14ac:dyDescent="0.3">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6">
        <f>INDEX(products!$A$1:$G$49,MATCH(orders!$D709,products!$A$1:$A$49,0),MATCH(orders!K$1,products!$A$1:$G$1,0))</f>
        <v>1</v>
      </c>
      <c r="L709" s="5">
        <f>INDEX(products!$A$1:$G$49,MATCH(orders!$D709,products!$A$1:$A$49,0),MATCH(orders!L$1,products!$A$1:$G$1,0))</f>
        <v>12.95</v>
      </c>
      <c r="M709" s="4">
        <f t="shared" si="33"/>
        <v>25.9</v>
      </c>
      <c r="N709" t="str">
        <f t="shared" si="34"/>
        <v>Librica</v>
      </c>
      <c r="O709" t="str">
        <f t="shared" si="35"/>
        <v>Dark</v>
      </c>
      <c r="P709" t="str">
        <f>_xlfn.XLOOKUP(Table1[[#This Row],[Customer ID]],customers!$A$1:$A$1001,customers!$I$1:$I$1001,,0)</f>
        <v>No</v>
      </c>
    </row>
    <row r="710" spans="1:16" x14ac:dyDescent="0.3">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6">
        <f>INDEX(products!$A$1:$G$49,MATCH(orders!$D710,products!$A$1:$A$49,0),MATCH(orders!K$1,products!$A$1:$G$1,0))</f>
        <v>0.5</v>
      </c>
      <c r="L710" s="5">
        <f>INDEX(products!$A$1:$G$49,MATCH(orders!$D710,products!$A$1:$A$49,0),MATCH(orders!L$1,products!$A$1:$G$1,0))</f>
        <v>6.75</v>
      </c>
      <c r="M710" s="4">
        <f t="shared" si="33"/>
        <v>13.5</v>
      </c>
      <c r="N710" t="str">
        <f t="shared" si="34"/>
        <v>Arabica</v>
      </c>
      <c r="O710" t="str">
        <f t="shared" si="35"/>
        <v>Medium</v>
      </c>
      <c r="P710" t="str">
        <f>_xlfn.XLOOKUP(Table1[[#This Row],[Customer ID]],customers!$A$1:$A$1001,customers!$I$1:$I$1001,,0)</f>
        <v>Yes</v>
      </c>
    </row>
    <row r="711" spans="1:16" x14ac:dyDescent="0.3">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6">
        <f>INDEX(products!$A$1:$G$49,MATCH(orders!$D711,products!$A$1:$A$49,0),MATCH(orders!K$1,products!$A$1:$G$1,0))</f>
        <v>0.5</v>
      </c>
      <c r="L711" s="5">
        <f>INDEX(products!$A$1:$G$49,MATCH(orders!$D711,products!$A$1:$A$49,0),MATCH(orders!L$1,products!$A$1:$G$1,0))</f>
        <v>8.91</v>
      </c>
      <c r="M711" s="4">
        <f t="shared" si="33"/>
        <v>17.82</v>
      </c>
      <c r="N711" t="str">
        <f t="shared" si="34"/>
        <v>Excelsa</v>
      </c>
      <c r="O711" t="str">
        <f t="shared" si="35"/>
        <v>Light</v>
      </c>
      <c r="P711" t="str">
        <f>_xlfn.XLOOKUP(Table1[[#This Row],[Customer ID]],customers!$A$1:$A$1001,customers!$I$1:$I$1001,,0)</f>
        <v>Yes</v>
      </c>
    </row>
    <row r="712" spans="1:16" x14ac:dyDescent="0.3">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6">
        <f>INDEX(products!$A$1:$G$49,MATCH(orders!$D712,products!$A$1:$A$49,0),MATCH(orders!K$1,products!$A$1:$G$1,0))</f>
        <v>0.5</v>
      </c>
      <c r="L712" s="5">
        <f>INDEX(products!$A$1:$G$49,MATCH(orders!$D712,products!$A$1:$A$49,0),MATCH(orders!L$1,products!$A$1:$G$1,0))</f>
        <v>8.25</v>
      </c>
      <c r="M712" s="4">
        <f t="shared" si="33"/>
        <v>24.75</v>
      </c>
      <c r="N712" t="str">
        <f t="shared" si="34"/>
        <v>Excelsa</v>
      </c>
      <c r="O712" t="str">
        <f t="shared" si="35"/>
        <v>Medium</v>
      </c>
      <c r="P712" t="str">
        <f>_xlfn.XLOOKUP(Table1[[#This Row],[Customer ID]],customers!$A$1:$A$1001,customers!$I$1:$I$1001,,0)</f>
        <v>No</v>
      </c>
    </row>
    <row r="713" spans="1:16" x14ac:dyDescent="0.3">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6">
        <f>INDEX(products!$A$1:$G$49,MATCH(orders!$D713,products!$A$1:$A$49,0),MATCH(orders!K$1,products!$A$1:$G$1,0))</f>
        <v>0.2</v>
      </c>
      <c r="L713" s="5">
        <f>INDEX(products!$A$1:$G$49,MATCH(orders!$D713,products!$A$1:$A$49,0),MATCH(orders!L$1,products!$A$1:$G$1,0))</f>
        <v>2.9849999999999999</v>
      </c>
      <c r="M713" s="4">
        <f t="shared" si="33"/>
        <v>17.91</v>
      </c>
      <c r="N713" t="str">
        <f t="shared" si="34"/>
        <v>Robusta</v>
      </c>
      <c r="O713" t="str">
        <f t="shared" si="35"/>
        <v>Medium</v>
      </c>
      <c r="P713" t="str">
        <f>_xlfn.XLOOKUP(Table1[[#This Row],[Customer ID]],customers!$A$1:$A$1001,customers!$I$1:$I$1001,,0)</f>
        <v>No</v>
      </c>
    </row>
    <row r="714" spans="1:16" x14ac:dyDescent="0.3">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6">
        <f>INDEX(products!$A$1:$G$49,MATCH(orders!$D714,products!$A$1:$A$49,0),MATCH(orders!K$1,products!$A$1:$G$1,0))</f>
        <v>0.5</v>
      </c>
      <c r="L714" s="5">
        <f>INDEX(products!$A$1:$G$49,MATCH(orders!$D714,products!$A$1:$A$49,0),MATCH(orders!L$1,products!$A$1:$G$1,0))</f>
        <v>8.25</v>
      </c>
      <c r="M714" s="4">
        <f t="shared" si="33"/>
        <v>16.5</v>
      </c>
      <c r="N714" t="str">
        <f t="shared" si="34"/>
        <v>Excelsa</v>
      </c>
      <c r="O714" t="str">
        <f t="shared" si="35"/>
        <v>Medium</v>
      </c>
      <c r="P714" t="str">
        <f>_xlfn.XLOOKUP(Table1[[#This Row],[Customer ID]],customers!$A$1:$A$1001,customers!$I$1:$I$1001,,0)</f>
        <v>No</v>
      </c>
    </row>
    <row r="715" spans="1:16" x14ac:dyDescent="0.3">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6">
        <f>INDEX(products!$A$1:$G$49,MATCH(orders!$D715,products!$A$1:$A$49,0),MATCH(orders!K$1,products!$A$1:$G$1,0))</f>
        <v>0.2</v>
      </c>
      <c r="L715" s="5">
        <f>INDEX(products!$A$1:$G$49,MATCH(orders!$D715,products!$A$1:$A$49,0),MATCH(orders!L$1,products!$A$1:$G$1,0))</f>
        <v>2.9849999999999999</v>
      </c>
      <c r="M715" s="4">
        <f t="shared" si="33"/>
        <v>2.9849999999999999</v>
      </c>
      <c r="N715" t="str">
        <f t="shared" si="34"/>
        <v>Robusta</v>
      </c>
      <c r="O715" t="str">
        <f t="shared" si="35"/>
        <v>Medium</v>
      </c>
      <c r="P715" t="str">
        <f>_xlfn.XLOOKUP(Table1[[#This Row],[Customer ID]],customers!$A$1:$A$1001,customers!$I$1:$I$1001,,0)</f>
        <v>No</v>
      </c>
    </row>
    <row r="716" spans="1:16" x14ac:dyDescent="0.3">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6">
        <f>INDEX(products!$A$1:$G$49,MATCH(orders!$D716,products!$A$1:$A$49,0),MATCH(orders!K$1,products!$A$1:$G$1,0))</f>
        <v>0.2</v>
      </c>
      <c r="L716" s="5">
        <f>INDEX(products!$A$1:$G$49,MATCH(orders!$D716,products!$A$1:$A$49,0),MATCH(orders!L$1,products!$A$1:$G$1,0))</f>
        <v>3.645</v>
      </c>
      <c r="M716" s="4">
        <f t="shared" si="33"/>
        <v>14.58</v>
      </c>
      <c r="N716" t="str">
        <f t="shared" si="34"/>
        <v>Excelsa</v>
      </c>
      <c r="O716" t="str">
        <f t="shared" si="35"/>
        <v>Dark</v>
      </c>
      <c r="P716" t="str">
        <f>_xlfn.XLOOKUP(Table1[[#This Row],[Customer ID]],customers!$A$1:$A$1001,customers!$I$1:$I$1001,,0)</f>
        <v>Yes</v>
      </c>
    </row>
    <row r="717" spans="1:16" x14ac:dyDescent="0.3">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6">
        <f>INDEX(products!$A$1:$G$49,MATCH(orders!$D717,products!$A$1:$A$49,0),MATCH(orders!K$1,products!$A$1:$G$1,0))</f>
        <v>1</v>
      </c>
      <c r="L717" s="5">
        <f>INDEX(products!$A$1:$G$49,MATCH(orders!$D717,products!$A$1:$A$49,0),MATCH(orders!L$1,products!$A$1:$G$1,0))</f>
        <v>14.85</v>
      </c>
      <c r="M717" s="4">
        <f t="shared" si="33"/>
        <v>89.1</v>
      </c>
      <c r="N717" t="str">
        <f t="shared" si="34"/>
        <v>Excelsa</v>
      </c>
      <c r="O717" t="str">
        <f t="shared" si="35"/>
        <v>Light</v>
      </c>
      <c r="P717" t="str">
        <f>_xlfn.XLOOKUP(Table1[[#This Row],[Customer ID]],customers!$A$1:$A$1001,customers!$I$1:$I$1001,,0)</f>
        <v>No</v>
      </c>
    </row>
    <row r="718" spans="1:16" x14ac:dyDescent="0.3">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6">
        <f>INDEX(products!$A$1:$G$49,MATCH(orders!$D718,products!$A$1:$A$49,0),MATCH(orders!K$1,products!$A$1:$G$1,0))</f>
        <v>1</v>
      </c>
      <c r="L718" s="5">
        <f>INDEX(products!$A$1:$G$49,MATCH(orders!$D718,products!$A$1:$A$49,0),MATCH(orders!L$1,products!$A$1:$G$1,0))</f>
        <v>11.95</v>
      </c>
      <c r="M718" s="4">
        <f t="shared" si="33"/>
        <v>35.849999999999994</v>
      </c>
      <c r="N718" t="str">
        <f t="shared" si="34"/>
        <v>Robusta</v>
      </c>
      <c r="O718" t="str">
        <f t="shared" si="35"/>
        <v>Light</v>
      </c>
      <c r="P718" t="str">
        <f>_xlfn.XLOOKUP(Table1[[#This Row],[Customer ID]],customers!$A$1:$A$1001,customers!$I$1:$I$1001,,0)</f>
        <v>No</v>
      </c>
    </row>
    <row r="719" spans="1:16" x14ac:dyDescent="0.3">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6">
        <f>INDEX(products!$A$1:$G$49,MATCH(orders!$D719,products!$A$1:$A$49,0),MATCH(orders!K$1,products!$A$1:$G$1,0))</f>
        <v>2.5</v>
      </c>
      <c r="L719" s="5">
        <f>INDEX(products!$A$1:$G$49,MATCH(orders!$D719,products!$A$1:$A$49,0),MATCH(orders!L$1,products!$A$1:$G$1,0))</f>
        <v>22.884999999999998</v>
      </c>
      <c r="M719" s="4">
        <f t="shared" si="33"/>
        <v>68.655000000000001</v>
      </c>
      <c r="N719" t="str">
        <f t="shared" si="34"/>
        <v>Arabica</v>
      </c>
      <c r="O719" t="str">
        <f t="shared" si="35"/>
        <v>Dark</v>
      </c>
      <c r="P719" t="str">
        <f>_xlfn.XLOOKUP(Table1[[#This Row],[Customer ID]],customers!$A$1:$A$1001,customers!$I$1:$I$1001,,0)</f>
        <v>No</v>
      </c>
    </row>
    <row r="720" spans="1:16" x14ac:dyDescent="0.3">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6">
        <f>INDEX(products!$A$1:$G$49,MATCH(orders!$D720,products!$A$1:$A$49,0),MATCH(orders!K$1,products!$A$1:$G$1,0))</f>
        <v>1</v>
      </c>
      <c r="L720" s="5">
        <f>INDEX(products!$A$1:$G$49,MATCH(orders!$D720,products!$A$1:$A$49,0),MATCH(orders!L$1,products!$A$1:$G$1,0))</f>
        <v>12.95</v>
      </c>
      <c r="M720" s="4">
        <f t="shared" si="33"/>
        <v>38.849999999999994</v>
      </c>
      <c r="N720" t="str">
        <f t="shared" si="34"/>
        <v>Librica</v>
      </c>
      <c r="O720" t="str">
        <f t="shared" si="35"/>
        <v>Dark</v>
      </c>
      <c r="P720" t="str">
        <f>_xlfn.XLOOKUP(Table1[[#This Row],[Customer ID]],customers!$A$1:$A$1001,customers!$I$1:$I$1001,,0)</f>
        <v>No</v>
      </c>
    </row>
    <row r="721" spans="1:16" x14ac:dyDescent="0.3">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6">
        <f>INDEX(products!$A$1:$G$49,MATCH(orders!$D721,products!$A$1:$A$49,0),MATCH(orders!K$1,products!$A$1:$G$1,0))</f>
        <v>1</v>
      </c>
      <c r="L721" s="5">
        <f>INDEX(products!$A$1:$G$49,MATCH(orders!$D721,products!$A$1:$A$49,0),MATCH(orders!L$1,products!$A$1:$G$1,0))</f>
        <v>15.85</v>
      </c>
      <c r="M721" s="4">
        <f t="shared" si="33"/>
        <v>79.25</v>
      </c>
      <c r="N721" t="str">
        <f t="shared" si="34"/>
        <v>Librica</v>
      </c>
      <c r="O721" t="str">
        <f t="shared" si="35"/>
        <v>Light</v>
      </c>
      <c r="P721" t="str">
        <f>_xlfn.XLOOKUP(Table1[[#This Row],[Customer ID]],customers!$A$1:$A$1001,customers!$I$1:$I$1001,,0)</f>
        <v>Yes</v>
      </c>
    </row>
    <row r="722" spans="1:16" x14ac:dyDescent="0.3">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6">
        <f>INDEX(products!$A$1:$G$49,MATCH(orders!$D722,products!$A$1:$A$49,0),MATCH(orders!K$1,products!$A$1:$G$1,0))</f>
        <v>0.5</v>
      </c>
      <c r="L722" s="5">
        <f>INDEX(products!$A$1:$G$49,MATCH(orders!$D722,products!$A$1:$A$49,0),MATCH(orders!L$1,products!$A$1:$G$1,0))</f>
        <v>7.29</v>
      </c>
      <c r="M722" s="4">
        <f t="shared" si="33"/>
        <v>36.450000000000003</v>
      </c>
      <c r="N722" t="str">
        <f t="shared" si="34"/>
        <v>Excelsa</v>
      </c>
      <c r="O722" t="str">
        <f t="shared" si="35"/>
        <v>Dark</v>
      </c>
      <c r="P722" t="str">
        <f>_xlfn.XLOOKUP(Table1[[#This Row],[Customer ID]],customers!$A$1:$A$1001,customers!$I$1:$I$1001,,0)</f>
        <v>Yes</v>
      </c>
    </row>
    <row r="723" spans="1:16" x14ac:dyDescent="0.3">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6">
        <f>INDEX(products!$A$1:$G$49,MATCH(orders!$D723,products!$A$1:$A$49,0),MATCH(orders!K$1,products!$A$1:$G$1,0))</f>
        <v>0.2</v>
      </c>
      <c r="L723" s="5">
        <f>INDEX(products!$A$1:$G$49,MATCH(orders!$D723,products!$A$1:$A$49,0),MATCH(orders!L$1,products!$A$1:$G$1,0))</f>
        <v>2.9849999999999999</v>
      </c>
      <c r="M723" s="4">
        <f t="shared" si="33"/>
        <v>8.9550000000000001</v>
      </c>
      <c r="N723" t="str">
        <f t="shared" si="34"/>
        <v>Robusta</v>
      </c>
      <c r="O723" t="str">
        <f t="shared" si="35"/>
        <v>Medium</v>
      </c>
      <c r="P723" t="str">
        <f>_xlfn.XLOOKUP(Table1[[#This Row],[Customer ID]],customers!$A$1:$A$1001,customers!$I$1:$I$1001,,0)</f>
        <v>Yes</v>
      </c>
    </row>
    <row r="724" spans="1:16" x14ac:dyDescent="0.3">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6">
        <f>INDEX(products!$A$1:$G$49,MATCH(orders!$D724,products!$A$1:$A$49,0),MATCH(orders!K$1,products!$A$1:$G$1,0))</f>
        <v>1</v>
      </c>
      <c r="L724" s="5">
        <f>INDEX(products!$A$1:$G$49,MATCH(orders!$D724,products!$A$1:$A$49,0),MATCH(orders!L$1,products!$A$1:$G$1,0))</f>
        <v>12.15</v>
      </c>
      <c r="M724" s="4">
        <f t="shared" si="33"/>
        <v>24.3</v>
      </c>
      <c r="N724" t="str">
        <f t="shared" si="34"/>
        <v>Excelsa</v>
      </c>
      <c r="O724" t="str">
        <f t="shared" si="35"/>
        <v>Dark</v>
      </c>
      <c r="P724" t="str">
        <f>_xlfn.XLOOKUP(Table1[[#This Row],[Customer ID]],customers!$A$1:$A$1001,customers!$I$1:$I$1001,,0)</f>
        <v>No</v>
      </c>
    </row>
    <row r="725" spans="1:16" x14ac:dyDescent="0.3">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6">
        <f>INDEX(products!$A$1:$G$49,MATCH(orders!$D725,products!$A$1:$A$49,0),MATCH(orders!K$1,products!$A$1:$G$1,0))</f>
        <v>2.5</v>
      </c>
      <c r="L725" s="5">
        <f>INDEX(products!$A$1:$G$49,MATCH(orders!$D725,products!$A$1:$A$49,0),MATCH(orders!L$1,products!$A$1:$G$1,0))</f>
        <v>31.624999999999996</v>
      </c>
      <c r="M725" s="4">
        <f t="shared" si="33"/>
        <v>63.249999999999993</v>
      </c>
      <c r="N725" t="str">
        <f t="shared" si="34"/>
        <v>Excelsa</v>
      </c>
      <c r="O725" t="str">
        <f t="shared" si="35"/>
        <v>Medium</v>
      </c>
      <c r="P725" t="str">
        <f>_xlfn.XLOOKUP(Table1[[#This Row],[Customer ID]],customers!$A$1:$A$1001,customers!$I$1:$I$1001,,0)</f>
        <v>No</v>
      </c>
    </row>
    <row r="726" spans="1:16" x14ac:dyDescent="0.3">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6">
        <f>INDEX(products!$A$1:$G$49,MATCH(orders!$D726,products!$A$1:$A$49,0),MATCH(orders!K$1,products!$A$1:$G$1,0))</f>
        <v>0.2</v>
      </c>
      <c r="L726" s="5">
        <f>INDEX(products!$A$1:$G$49,MATCH(orders!$D726,products!$A$1:$A$49,0),MATCH(orders!L$1,products!$A$1:$G$1,0))</f>
        <v>3.375</v>
      </c>
      <c r="M726" s="4">
        <f t="shared" si="33"/>
        <v>6.75</v>
      </c>
      <c r="N726" t="str">
        <f t="shared" si="34"/>
        <v>Arabica</v>
      </c>
      <c r="O726" t="str">
        <f t="shared" si="35"/>
        <v>Medium</v>
      </c>
      <c r="P726" t="str">
        <f>_xlfn.XLOOKUP(Table1[[#This Row],[Customer ID]],customers!$A$1:$A$1001,customers!$I$1:$I$1001,,0)</f>
        <v>Yes</v>
      </c>
    </row>
    <row r="727" spans="1:16" x14ac:dyDescent="0.3">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6">
        <f>INDEX(products!$A$1:$G$49,MATCH(orders!$D727,products!$A$1:$A$49,0),MATCH(orders!K$1,products!$A$1:$G$1,0))</f>
        <v>0.2</v>
      </c>
      <c r="L727" s="5">
        <f>INDEX(products!$A$1:$G$49,MATCH(orders!$D727,products!$A$1:$A$49,0),MATCH(orders!L$1,products!$A$1:$G$1,0))</f>
        <v>3.8849999999999998</v>
      </c>
      <c r="M727" s="4">
        <f t="shared" si="33"/>
        <v>23.31</v>
      </c>
      <c r="N727" t="str">
        <f t="shared" si="34"/>
        <v>Arabica</v>
      </c>
      <c r="O727" t="str">
        <f t="shared" si="35"/>
        <v>Light</v>
      </c>
      <c r="P727" t="str">
        <f>_xlfn.XLOOKUP(Table1[[#This Row],[Customer ID]],customers!$A$1:$A$1001,customers!$I$1:$I$1001,,0)</f>
        <v>No</v>
      </c>
    </row>
    <row r="728" spans="1:16" x14ac:dyDescent="0.3">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6">
        <f>INDEX(products!$A$1:$G$49,MATCH(orders!$D728,products!$A$1:$A$49,0),MATCH(orders!K$1,products!$A$1:$G$1,0))</f>
        <v>2.5</v>
      </c>
      <c r="L728" s="5">
        <f>INDEX(products!$A$1:$G$49,MATCH(orders!$D728,products!$A$1:$A$49,0),MATCH(orders!L$1,products!$A$1:$G$1,0))</f>
        <v>36.454999999999998</v>
      </c>
      <c r="M728" s="4">
        <f t="shared" si="33"/>
        <v>145.82</v>
      </c>
      <c r="N728" t="str">
        <f t="shared" si="34"/>
        <v>Librica</v>
      </c>
      <c r="O728" t="str">
        <f t="shared" si="35"/>
        <v>Light</v>
      </c>
      <c r="P728" t="str">
        <f>_xlfn.XLOOKUP(Table1[[#This Row],[Customer ID]],customers!$A$1:$A$1001,customers!$I$1:$I$1001,,0)</f>
        <v>No</v>
      </c>
    </row>
    <row r="729" spans="1:16" x14ac:dyDescent="0.3">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6">
        <f>INDEX(products!$A$1:$G$49,MATCH(orders!$D729,products!$A$1:$A$49,0),MATCH(orders!K$1,products!$A$1:$G$1,0))</f>
        <v>0.5</v>
      </c>
      <c r="L729" s="5">
        <f>INDEX(products!$A$1:$G$49,MATCH(orders!$D729,products!$A$1:$A$49,0),MATCH(orders!L$1,products!$A$1:$G$1,0))</f>
        <v>5.97</v>
      </c>
      <c r="M729" s="4">
        <f t="shared" si="33"/>
        <v>29.849999999999998</v>
      </c>
      <c r="N729" t="str">
        <f t="shared" si="34"/>
        <v>Robusta</v>
      </c>
      <c r="O729" t="str">
        <f t="shared" si="35"/>
        <v>Medium</v>
      </c>
      <c r="P729" t="str">
        <f>_xlfn.XLOOKUP(Table1[[#This Row],[Customer ID]],customers!$A$1:$A$1001,customers!$I$1:$I$1001,,0)</f>
        <v>Yes</v>
      </c>
    </row>
    <row r="730" spans="1:16" x14ac:dyDescent="0.3">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6">
        <f>INDEX(products!$A$1:$G$49,MATCH(orders!$D730,products!$A$1:$A$49,0),MATCH(orders!K$1,products!$A$1:$G$1,0))</f>
        <v>0.5</v>
      </c>
      <c r="L730" s="5">
        <f>INDEX(products!$A$1:$G$49,MATCH(orders!$D730,products!$A$1:$A$49,0),MATCH(orders!L$1,products!$A$1:$G$1,0))</f>
        <v>7.29</v>
      </c>
      <c r="M730" s="4">
        <f t="shared" si="33"/>
        <v>21.87</v>
      </c>
      <c r="N730" t="str">
        <f t="shared" si="34"/>
        <v>Excelsa</v>
      </c>
      <c r="O730" t="str">
        <f t="shared" si="35"/>
        <v>Dark</v>
      </c>
      <c r="P730" t="str">
        <f>_xlfn.XLOOKUP(Table1[[#This Row],[Customer ID]],customers!$A$1:$A$1001,customers!$I$1:$I$1001,,0)</f>
        <v>Yes</v>
      </c>
    </row>
    <row r="731" spans="1:16" x14ac:dyDescent="0.3">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6">
        <f>INDEX(products!$A$1:$G$49,MATCH(orders!$D731,products!$A$1:$A$49,0),MATCH(orders!K$1,products!$A$1:$G$1,0))</f>
        <v>0.2</v>
      </c>
      <c r="L731" s="5">
        <f>INDEX(products!$A$1:$G$49,MATCH(orders!$D731,products!$A$1:$A$49,0),MATCH(orders!L$1,products!$A$1:$G$1,0))</f>
        <v>4.3650000000000002</v>
      </c>
      <c r="M731" s="4">
        <f t="shared" si="33"/>
        <v>4.3650000000000002</v>
      </c>
      <c r="N731" t="str">
        <f t="shared" si="34"/>
        <v>Librica</v>
      </c>
      <c r="O731" t="str">
        <f t="shared" si="35"/>
        <v>Medium</v>
      </c>
      <c r="P731" t="str">
        <f>_xlfn.XLOOKUP(Table1[[#This Row],[Customer ID]],customers!$A$1:$A$1001,customers!$I$1:$I$1001,,0)</f>
        <v>No</v>
      </c>
    </row>
    <row r="732" spans="1:16" x14ac:dyDescent="0.3">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6">
        <f>INDEX(products!$A$1:$G$49,MATCH(orders!$D732,products!$A$1:$A$49,0),MATCH(orders!K$1,products!$A$1:$G$1,0))</f>
        <v>2.5</v>
      </c>
      <c r="L732" s="5">
        <f>INDEX(products!$A$1:$G$49,MATCH(orders!$D732,products!$A$1:$A$49,0),MATCH(orders!L$1,products!$A$1:$G$1,0))</f>
        <v>36.454999999999998</v>
      </c>
      <c r="M732" s="4">
        <f t="shared" si="33"/>
        <v>36.454999999999998</v>
      </c>
      <c r="N732" t="str">
        <f t="shared" si="34"/>
        <v>Librica</v>
      </c>
      <c r="O732" t="str">
        <f t="shared" si="35"/>
        <v>Light</v>
      </c>
      <c r="P732" t="str">
        <f>_xlfn.XLOOKUP(Table1[[#This Row],[Customer ID]],customers!$A$1:$A$1001,customers!$I$1:$I$1001,,0)</f>
        <v>No</v>
      </c>
    </row>
    <row r="733" spans="1:16" x14ac:dyDescent="0.3">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6">
        <f>INDEX(products!$A$1:$G$49,MATCH(orders!$D733,products!$A$1:$A$49,0),MATCH(orders!K$1,products!$A$1:$G$1,0))</f>
        <v>0.2</v>
      </c>
      <c r="L733" s="5">
        <f>INDEX(products!$A$1:$G$49,MATCH(orders!$D733,products!$A$1:$A$49,0),MATCH(orders!L$1,products!$A$1:$G$1,0))</f>
        <v>3.8849999999999998</v>
      </c>
      <c r="M733" s="4">
        <f t="shared" si="33"/>
        <v>15.54</v>
      </c>
      <c r="N733" t="str">
        <f t="shared" si="34"/>
        <v>Librica</v>
      </c>
      <c r="O733" t="str">
        <f t="shared" si="35"/>
        <v>Dark</v>
      </c>
      <c r="P733" t="str">
        <f>_xlfn.XLOOKUP(Table1[[#This Row],[Customer ID]],customers!$A$1:$A$1001,customers!$I$1:$I$1001,,0)</f>
        <v>Yes</v>
      </c>
    </row>
    <row r="734" spans="1:16" x14ac:dyDescent="0.3">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6">
        <f>INDEX(products!$A$1:$G$49,MATCH(orders!$D734,products!$A$1:$A$49,0),MATCH(orders!K$1,products!$A$1:$G$1,0))</f>
        <v>0.2</v>
      </c>
      <c r="L734" s="5">
        <f>INDEX(products!$A$1:$G$49,MATCH(orders!$D734,products!$A$1:$A$49,0),MATCH(orders!L$1,products!$A$1:$G$1,0))</f>
        <v>4.4550000000000001</v>
      </c>
      <c r="M734" s="4">
        <f t="shared" si="33"/>
        <v>8.91</v>
      </c>
      <c r="N734" t="str">
        <f t="shared" si="34"/>
        <v>Excelsa</v>
      </c>
      <c r="O734" t="str">
        <f t="shared" si="35"/>
        <v>Light</v>
      </c>
      <c r="P734" t="str">
        <f>_xlfn.XLOOKUP(Table1[[#This Row],[Customer ID]],customers!$A$1:$A$1001,customers!$I$1:$I$1001,,0)</f>
        <v>No</v>
      </c>
    </row>
    <row r="735" spans="1:16" x14ac:dyDescent="0.3">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6">
        <f>INDEX(products!$A$1:$G$49,MATCH(orders!$D735,products!$A$1:$A$49,0),MATCH(orders!K$1,products!$A$1:$G$1,0))</f>
        <v>2.5</v>
      </c>
      <c r="L735" s="5">
        <f>INDEX(products!$A$1:$G$49,MATCH(orders!$D735,products!$A$1:$A$49,0),MATCH(orders!L$1,products!$A$1:$G$1,0))</f>
        <v>33.464999999999996</v>
      </c>
      <c r="M735" s="4">
        <f t="shared" si="33"/>
        <v>100.39499999999998</v>
      </c>
      <c r="N735" t="str">
        <f t="shared" si="34"/>
        <v>Librica</v>
      </c>
      <c r="O735" t="str">
        <f t="shared" si="35"/>
        <v>Medium</v>
      </c>
      <c r="P735" t="str">
        <f>_xlfn.XLOOKUP(Table1[[#This Row],[Customer ID]],customers!$A$1:$A$1001,customers!$I$1:$I$1001,,0)</f>
        <v>Yes</v>
      </c>
    </row>
    <row r="736" spans="1:16" x14ac:dyDescent="0.3">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6">
        <f>INDEX(products!$A$1:$G$49,MATCH(orders!$D736,products!$A$1:$A$49,0),MATCH(orders!K$1,products!$A$1:$G$1,0))</f>
        <v>0.2</v>
      </c>
      <c r="L736" s="5">
        <f>INDEX(products!$A$1:$G$49,MATCH(orders!$D736,products!$A$1:$A$49,0),MATCH(orders!L$1,products!$A$1:$G$1,0))</f>
        <v>2.6849999999999996</v>
      </c>
      <c r="M736" s="4">
        <f t="shared" si="33"/>
        <v>13.424999999999997</v>
      </c>
      <c r="N736" t="str">
        <f t="shared" si="34"/>
        <v>Robusta</v>
      </c>
      <c r="O736" t="str">
        <f t="shared" si="35"/>
        <v>Dark</v>
      </c>
      <c r="P736" t="str">
        <f>_xlfn.XLOOKUP(Table1[[#This Row],[Customer ID]],customers!$A$1:$A$1001,customers!$I$1:$I$1001,,0)</f>
        <v>No</v>
      </c>
    </row>
    <row r="737" spans="1:16" x14ac:dyDescent="0.3">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6">
        <f>INDEX(products!$A$1:$G$49,MATCH(orders!$D737,products!$A$1:$A$49,0),MATCH(orders!K$1,products!$A$1:$G$1,0))</f>
        <v>0.2</v>
      </c>
      <c r="L737" s="5">
        <f>INDEX(products!$A$1:$G$49,MATCH(orders!$D737,products!$A$1:$A$49,0),MATCH(orders!L$1,products!$A$1:$G$1,0))</f>
        <v>3.645</v>
      </c>
      <c r="M737" s="4">
        <f t="shared" si="33"/>
        <v>21.87</v>
      </c>
      <c r="N737" t="str">
        <f t="shared" si="34"/>
        <v>Excelsa</v>
      </c>
      <c r="O737" t="str">
        <f t="shared" si="35"/>
        <v>Dark</v>
      </c>
      <c r="P737" t="str">
        <f>_xlfn.XLOOKUP(Table1[[#This Row],[Customer ID]],customers!$A$1:$A$1001,customers!$I$1:$I$1001,,0)</f>
        <v>No</v>
      </c>
    </row>
    <row r="738" spans="1:16" x14ac:dyDescent="0.3">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6">
        <f>INDEX(products!$A$1:$G$49,MATCH(orders!$D738,products!$A$1:$A$49,0),MATCH(orders!K$1,products!$A$1:$G$1,0))</f>
        <v>1</v>
      </c>
      <c r="L738" s="5">
        <f>INDEX(products!$A$1:$G$49,MATCH(orders!$D738,products!$A$1:$A$49,0),MATCH(orders!L$1,products!$A$1:$G$1,0))</f>
        <v>12.95</v>
      </c>
      <c r="M738" s="4">
        <f t="shared" si="33"/>
        <v>25.9</v>
      </c>
      <c r="N738" t="str">
        <f t="shared" si="34"/>
        <v>Librica</v>
      </c>
      <c r="O738" t="str">
        <f t="shared" si="35"/>
        <v>Dark</v>
      </c>
      <c r="P738" t="str">
        <f>_xlfn.XLOOKUP(Table1[[#This Row],[Customer ID]],customers!$A$1:$A$1001,customers!$I$1:$I$1001,,0)</f>
        <v>Yes</v>
      </c>
    </row>
    <row r="739" spans="1:16" x14ac:dyDescent="0.3">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6">
        <f>INDEX(products!$A$1:$G$49,MATCH(orders!$D739,products!$A$1:$A$49,0),MATCH(orders!K$1,products!$A$1:$G$1,0))</f>
        <v>1</v>
      </c>
      <c r="L739" s="5">
        <f>INDEX(products!$A$1:$G$49,MATCH(orders!$D739,products!$A$1:$A$49,0),MATCH(orders!L$1,products!$A$1:$G$1,0))</f>
        <v>11.25</v>
      </c>
      <c r="M739" s="4">
        <f t="shared" si="33"/>
        <v>56.25</v>
      </c>
      <c r="N739" t="str">
        <f t="shared" si="34"/>
        <v>Arabica</v>
      </c>
      <c r="O739" t="str">
        <f t="shared" si="35"/>
        <v>Medium</v>
      </c>
      <c r="P739" t="str">
        <f>_xlfn.XLOOKUP(Table1[[#This Row],[Customer ID]],customers!$A$1:$A$1001,customers!$I$1:$I$1001,,0)</f>
        <v>No</v>
      </c>
    </row>
    <row r="740" spans="1:16" x14ac:dyDescent="0.3">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6">
        <f>INDEX(products!$A$1:$G$49,MATCH(orders!$D740,products!$A$1:$A$49,0),MATCH(orders!K$1,products!$A$1:$G$1,0))</f>
        <v>0.2</v>
      </c>
      <c r="L740" s="5">
        <f>INDEX(products!$A$1:$G$49,MATCH(orders!$D740,products!$A$1:$A$49,0),MATCH(orders!L$1,products!$A$1:$G$1,0))</f>
        <v>3.5849999999999995</v>
      </c>
      <c r="M740" s="4">
        <f t="shared" si="33"/>
        <v>10.754999999999999</v>
      </c>
      <c r="N740" t="str">
        <f t="shared" si="34"/>
        <v>Robusta</v>
      </c>
      <c r="O740" t="str">
        <f t="shared" si="35"/>
        <v>Light</v>
      </c>
      <c r="P740" t="str">
        <f>_xlfn.XLOOKUP(Table1[[#This Row],[Customer ID]],customers!$A$1:$A$1001,customers!$I$1:$I$1001,,0)</f>
        <v>No</v>
      </c>
    </row>
    <row r="741" spans="1:16" x14ac:dyDescent="0.3">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6">
        <f>INDEX(products!$A$1:$G$49,MATCH(orders!$D741,products!$A$1:$A$49,0),MATCH(orders!K$1,products!$A$1:$G$1,0))</f>
        <v>0.2</v>
      </c>
      <c r="L741" s="5">
        <f>INDEX(products!$A$1:$G$49,MATCH(orders!$D741,products!$A$1:$A$49,0),MATCH(orders!L$1,products!$A$1:$G$1,0))</f>
        <v>3.645</v>
      </c>
      <c r="M741" s="4">
        <f t="shared" si="33"/>
        <v>18.225000000000001</v>
      </c>
      <c r="N741" t="str">
        <f t="shared" si="34"/>
        <v>Excelsa</v>
      </c>
      <c r="O741" t="str">
        <f t="shared" si="35"/>
        <v>Dark</v>
      </c>
      <c r="P741" t="str">
        <f>_xlfn.XLOOKUP(Table1[[#This Row],[Customer ID]],customers!$A$1:$A$1001,customers!$I$1:$I$1001,,0)</f>
        <v>No</v>
      </c>
    </row>
    <row r="742" spans="1:16" x14ac:dyDescent="0.3">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6">
        <f>INDEX(products!$A$1:$G$49,MATCH(orders!$D742,products!$A$1:$A$49,0),MATCH(orders!K$1,products!$A$1:$G$1,0))</f>
        <v>0.5</v>
      </c>
      <c r="L742" s="5">
        <f>INDEX(products!$A$1:$G$49,MATCH(orders!$D742,products!$A$1:$A$49,0),MATCH(orders!L$1,products!$A$1:$G$1,0))</f>
        <v>7.169999999999999</v>
      </c>
      <c r="M742" s="4">
        <f t="shared" si="33"/>
        <v>28.679999999999996</v>
      </c>
      <c r="N742" t="str">
        <f t="shared" si="34"/>
        <v>Robusta</v>
      </c>
      <c r="O742" t="str">
        <f t="shared" si="35"/>
        <v>Light</v>
      </c>
      <c r="P742" t="str">
        <f>_xlfn.XLOOKUP(Table1[[#This Row],[Customer ID]],customers!$A$1:$A$1001,customers!$I$1:$I$1001,,0)</f>
        <v>No</v>
      </c>
    </row>
    <row r="743" spans="1:16" x14ac:dyDescent="0.3">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6">
        <f>INDEX(products!$A$1:$G$49,MATCH(orders!$D743,products!$A$1:$A$49,0),MATCH(orders!K$1,products!$A$1:$G$1,0))</f>
        <v>0.2</v>
      </c>
      <c r="L743" s="5">
        <f>INDEX(products!$A$1:$G$49,MATCH(orders!$D743,products!$A$1:$A$49,0),MATCH(orders!L$1,products!$A$1:$G$1,0))</f>
        <v>4.3650000000000002</v>
      </c>
      <c r="M743" s="4">
        <f t="shared" si="33"/>
        <v>8.73</v>
      </c>
      <c r="N743" t="str">
        <f t="shared" si="34"/>
        <v>Librica</v>
      </c>
      <c r="O743" t="str">
        <f t="shared" si="35"/>
        <v>Medium</v>
      </c>
      <c r="P743" t="str">
        <f>_xlfn.XLOOKUP(Table1[[#This Row],[Customer ID]],customers!$A$1:$A$1001,customers!$I$1:$I$1001,,0)</f>
        <v>No</v>
      </c>
    </row>
    <row r="744" spans="1:16" x14ac:dyDescent="0.3">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6">
        <f>INDEX(products!$A$1:$G$49,MATCH(orders!$D744,products!$A$1:$A$49,0),MATCH(orders!K$1,products!$A$1:$G$1,0))</f>
        <v>1</v>
      </c>
      <c r="L744" s="5">
        <f>INDEX(products!$A$1:$G$49,MATCH(orders!$D744,products!$A$1:$A$49,0),MATCH(orders!L$1,products!$A$1:$G$1,0))</f>
        <v>14.55</v>
      </c>
      <c r="M744" s="4">
        <f t="shared" si="33"/>
        <v>58.2</v>
      </c>
      <c r="N744" t="str">
        <f t="shared" si="34"/>
        <v>Librica</v>
      </c>
      <c r="O744" t="str">
        <f t="shared" si="35"/>
        <v>Medium</v>
      </c>
      <c r="P744" t="str">
        <f>_xlfn.XLOOKUP(Table1[[#This Row],[Customer ID]],customers!$A$1:$A$1001,customers!$I$1:$I$1001,,0)</f>
        <v>No</v>
      </c>
    </row>
    <row r="745" spans="1:16" x14ac:dyDescent="0.3">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6">
        <f>INDEX(products!$A$1:$G$49,MATCH(orders!$D745,products!$A$1:$A$49,0),MATCH(orders!K$1,products!$A$1:$G$1,0))</f>
        <v>0.5</v>
      </c>
      <c r="L745" s="5">
        <f>INDEX(products!$A$1:$G$49,MATCH(orders!$D745,products!$A$1:$A$49,0),MATCH(orders!L$1,products!$A$1:$G$1,0))</f>
        <v>5.97</v>
      </c>
      <c r="M745" s="4">
        <f t="shared" si="33"/>
        <v>17.91</v>
      </c>
      <c r="N745" t="str">
        <f t="shared" si="34"/>
        <v>Arabica</v>
      </c>
      <c r="O745" t="str">
        <f t="shared" si="35"/>
        <v>Dark</v>
      </c>
      <c r="P745" t="str">
        <f>_xlfn.XLOOKUP(Table1[[#This Row],[Customer ID]],customers!$A$1:$A$1001,customers!$I$1:$I$1001,,0)</f>
        <v>No</v>
      </c>
    </row>
    <row r="746" spans="1:16" x14ac:dyDescent="0.3">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6">
        <f>INDEX(products!$A$1:$G$49,MATCH(orders!$D746,products!$A$1:$A$49,0),MATCH(orders!K$1,products!$A$1:$G$1,0))</f>
        <v>0.2</v>
      </c>
      <c r="L746" s="5">
        <f>INDEX(products!$A$1:$G$49,MATCH(orders!$D746,products!$A$1:$A$49,0),MATCH(orders!L$1,products!$A$1:$G$1,0))</f>
        <v>2.9849999999999999</v>
      </c>
      <c r="M746" s="4">
        <f t="shared" si="33"/>
        <v>17.91</v>
      </c>
      <c r="N746" t="str">
        <f t="shared" si="34"/>
        <v>Robusta</v>
      </c>
      <c r="O746" t="str">
        <f t="shared" si="35"/>
        <v>Medium</v>
      </c>
      <c r="P746" t="str">
        <f>_xlfn.XLOOKUP(Table1[[#This Row],[Customer ID]],customers!$A$1:$A$1001,customers!$I$1:$I$1001,,0)</f>
        <v>Yes</v>
      </c>
    </row>
    <row r="747" spans="1:16" x14ac:dyDescent="0.3">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6">
        <f>INDEX(products!$A$1:$G$49,MATCH(orders!$D747,products!$A$1:$A$49,0),MATCH(orders!K$1,products!$A$1:$G$1,0))</f>
        <v>0.5</v>
      </c>
      <c r="L747" s="5">
        <f>INDEX(products!$A$1:$G$49,MATCH(orders!$D747,products!$A$1:$A$49,0),MATCH(orders!L$1,products!$A$1:$G$1,0))</f>
        <v>7.29</v>
      </c>
      <c r="M747" s="4">
        <f t="shared" si="33"/>
        <v>14.58</v>
      </c>
      <c r="N747" t="str">
        <f t="shared" si="34"/>
        <v>Excelsa</v>
      </c>
      <c r="O747" t="str">
        <f t="shared" si="35"/>
        <v>Dark</v>
      </c>
      <c r="P747" t="str">
        <f>_xlfn.XLOOKUP(Table1[[#This Row],[Customer ID]],customers!$A$1:$A$1001,customers!$I$1:$I$1001,,0)</f>
        <v>No</v>
      </c>
    </row>
    <row r="748" spans="1:16" x14ac:dyDescent="0.3">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6">
        <f>INDEX(products!$A$1:$G$49,MATCH(orders!$D748,products!$A$1:$A$49,0),MATCH(orders!K$1,products!$A$1:$G$1,0))</f>
        <v>1</v>
      </c>
      <c r="L748" s="5">
        <f>INDEX(products!$A$1:$G$49,MATCH(orders!$D748,products!$A$1:$A$49,0),MATCH(orders!L$1,products!$A$1:$G$1,0))</f>
        <v>11.25</v>
      </c>
      <c r="M748" s="4">
        <f t="shared" si="33"/>
        <v>33.75</v>
      </c>
      <c r="N748" t="str">
        <f t="shared" si="34"/>
        <v>Arabica</v>
      </c>
      <c r="O748" t="str">
        <f t="shared" si="35"/>
        <v>Medium</v>
      </c>
      <c r="P748" t="str">
        <f>_xlfn.XLOOKUP(Table1[[#This Row],[Customer ID]],customers!$A$1:$A$1001,customers!$I$1:$I$1001,,0)</f>
        <v>No</v>
      </c>
    </row>
    <row r="749" spans="1:16" x14ac:dyDescent="0.3">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6">
        <f>INDEX(products!$A$1:$G$49,MATCH(orders!$D749,products!$A$1:$A$49,0),MATCH(orders!K$1,products!$A$1:$G$1,0))</f>
        <v>0.5</v>
      </c>
      <c r="L749" s="5">
        <f>INDEX(products!$A$1:$G$49,MATCH(orders!$D749,products!$A$1:$A$49,0),MATCH(orders!L$1,products!$A$1:$G$1,0))</f>
        <v>8.73</v>
      </c>
      <c r="M749" s="4">
        <f t="shared" si="33"/>
        <v>34.92</v>
      </c>
      <c r="N749" t="str">
        <f t="shared" si="34"/>
        <v>Librica</v>
      </c>
      <c r="O749" t="str">
        <f t="shared" si="35"/>
        <v>Medium</v>
      </c>
      <c r="P749" t="str">
        <f>_xlfn.XLOOKUP(Table1[[#This Row],[Customer ID]],customers!$A$1:$A$1001,customers!$I$1:$I$1001,,0)</f>
        <v>Yes</v>
      </c>
    </row>
    <row r="750" spans="1:16" x14ac:dyDescent="0.3">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6">
        <f>INDEX(products!$A$1:$G$49,MATCH(orders!$D750,products!$A$1:$A$49,0),MATCH(orders!K$1,products!$A$1:$G$1,0))</f>
        <v>0.5</v>
      </c>
      <c r="L750" s="5">
        <f>INDEX(products!$A$1:$G$49,MATCH(orders!$D750,products!$A$1:$A$49,0),MATCH(orders!L$1,products!$A$1:$G$1,0))</f>
        <v>7.29</v>
      </c>
      <c r="M750" s="4">
        <f t="shared" si="33"/>
        <v>14.58</v>
      </c>
      <c r="N750" t="str">
        <f t="shared" si="34"/>
        <v>Excelsa</v>
      </c>
      <c r="O750" t="str">
        <f t="shared" si="35"/>
        <v>Dark</v>
      </c>
      <c r="P750" t="str">
        <f>_xlfn.XLOOKUP(Table1[[#This Row],[Customer ID]],customers!$A$1:$A$1001,customers!$I$1:$I$1001,,0)</f>
        <v>No</v>
      </c>
    </row>
    <row r="751" spans="1:16" x14ac:dyDescent="0.3">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6">
        <f>INDEX(products!$A$1:$G$49,MATCH(orders!$D751,products!$A$1:$A$49,0),MATCH(orders!K$1,products!$A$1:$G$1,0))</f>
        <v>0.2</v>
      </c>
      <c r="L751" s="5">
        <f>INDEX(products!$A$1:$G$49,MATCH(orders!$D751,products!$A$1:$A$49,0),MATCH(orders!L$1,products!$A$1:$G$1,0))</f>
        <v>2.6849999999999996</v>
      </c>
      <c r="M751" s="4">
        <f t="shared" si="33"/>
        <v>5.3699999999999992</v>
      </c>
      <c r="N751" t="str">
        <f t="shared" si="34"/>
        <v>Robusta</v>
      </c>
      <c r="O751" t="str">
        <f t="shared" si="35"/>
        <v>Dark</v>
      </c>
      <c r="P751" t="str">
        <f>_xlfn.XLOOKUP(Table1[[#This Row],[Customer ID]],customers!$A$1:$A$1001,customers!$I$1:$I$1001,,0)</f>
        <v>Yes</v>
      </c>
    </row>
    <row r="752" spans="1:16" x14ac:dyDescent="0.3">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6">
        <f>INDEX(products!$A$1:$G$49,MATCH(orders!$D752,products!$A$1:$A$49,0),MATCH(orders!K$1,products!$A$1:$G$1,0))</f>
        <v>0.5</v>
      </c>
      <c r="L752" s="5">
        <f>INDEX(products!$A$1:$G$49,MATCH(orders!$D752,products!$A$1:$A$49,0),MATCH(orders!L$1,products!$A$1:$G$1,0))</f>
        <v>5.97</v>
      </c>
      <c r="M752" s="4">
        <f t="shared" si="33"/>
        <v>5.97</v>
      </c>
      <c r="N752" t="str">
        <f t="shared" si="34"/>
        <v>Robusta</v>
      </c>
      <c r="O752" t="str">
        <f t="shared" si="35"/>
        <v>Medium</v>
      </c>
      <c r="P752" t="str">
        <f>_xlfn.XLOOKUP(Table1[[#This Row],[Customer ID]],customers!$A$1:$A$1001,customers!$I$1:$I$1001,,0)</f>
        <v>Yes</v>
      </c>
    </row>
    <row r="753" spans="1:16" x14ac:dyDescent="0.3">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6">
        <f>INDEX(products!$A$1:$G$49,MATCH(orders!$D753,products!$A$1:$A$49,0),MATCH(orders!K$1,products!$A$1:$G$1,0))</f>
        <v>0.5</v>
      </c>
      <c r="L753" s="5">
        <f>INDEX(products!$A$1:$G$49,MATCH(orders!$D753,products!$A$1:$A$49,0),MATCH(orders!L$1,products!$A$1:$G$1,0))</f>
        <v>9.51</v>
      </c>
      <c r="M753" s="4">
        <f t="shared" si="33"/>
        <v>19.02</v>
      </c>
      <c r="N753" t="str">
        <f t="shared" si="34"/>
        <v>Librica</v>
      </c>
      <c r="O753" t="str">
        <f t="shared" si="35"/>
        <v>Light</v>
      </c>
      <c r="P753" t="str">
        <f>_xlfn.XLOOKUP(Table1[[#This Row],[Customer ID]],customers!$A$1:$A$1001,customers!$I$1:$I$1001,,0)</f>
        <v>No</v>
      </c>
    </row>
    <row r="754" spans="1:16" x14ac:dyDescent="0.3">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6">
        <f>INDEX(products!$A$1:$G$49,MATCH(orders!$D754,products!$A$1:$A$49,0),MATCH(orders!K$1,products!$A$1:$G$1,0))</f>
        <v>1</v>
      </c>
      <c r="L754" s="5">
        <f>INDEX(products!$A$1:$G$49,MATCH(orders!$D754,products!$A$1:$A$49,0),MATCH(orders!L$1,products!$A$1:$G$1,0))</f>
        <v>13.75</v>
      </c>
      <c r="M754" s="4">
        <f t="shared" si="33"/>
        <v>27.5</v>
      </c>
      <c r="N754" t="str">
        <f t="shared" si="34"/>
        <v>Excelsa</v>
      </c>
      <c r="O754" t="str">
        <f t="shared" si="35"/>
        <v>Medium</v>
      </c>
      <c r="P754" t="str">
        <f>_xlfn.XLOOKUP(Table1[[#This Row],[Customer ID]],customers!$A$1:$A$1001,customers!$I$1:$I$1001,,0)</f>
        <v>Yes</v>
      </c>
    </row>
    <row r="755" spans="1:16" x14ac:dyDescent="0.3">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6">
        <f>INDEX(products!$A$1:$G$49,MATCH(orders!$D755,products!$A$1:$A$49,0),MATCH(orders!K$1,products!$A$1:$G$1,0))</f>
        <v>0.5</v>
      </c>
      <c r="L755" s="5">
        <f>INDEX(products!$A$1:$G$49,MATCH(orders!$D755,products!$A$1:$A$49,0),MATCH(orders!L$1,products!$A$1:$G$1,0))</f>
        <v>5.97</v>
      </c>
      <c r="M755" s="4">
        <f t="shared" si="33"/>
        <v>29.849999999999998</v>
      </c>
      <c r="N755" t="str">
        <f t="shared" si="34"/>
        <v>Arabica</v>
      </c>
      <c r="O755" t="str">
        <f t="shared" si="35"/>
        <v>Dark</v>
      </c>
      <c r="P755" t="str">
        <f>_xlfn.XLOOKUP(Table1[[#This Row],[Customer ID]],customers!$A$1:$A$1001,customers!$I$1:$I$1001,,0)</f>
        <v>No</v>
      </c>
    </row>
    <row r="756" spans="1:16" x14ac:dyDescent="0.3">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6">
        <f>INDEX(products!$A$1:$G$49,MATCH(orders!$D756,products!$A$1:$A$49,0),MATCH(orders!K$1,products!$A$1:$G$1,0))</f>
        <v>0.2</v>
      </c>
      <c r="L756" s="5">
        <f>INDEX(products!$A$1:$G$49,MATCH(orders!$D756,products!$A$1:$A$49,0),MATCH(orders!L$1,products!$A$1:$G$1,0))</f>
        <v>2.9849999999999999</v>
      </c>
      <c r="M756" s="4">
        <f t="shared" si="33"/>
        <v>17.91</v>
      </c>
      <c r="N756" t="str">
        <f t="shared" si="34"/>
        <v>Arabica</v>
      </c>
      <c r="O756" t="str">
        <f t="shared" si="35"/>
        <v>Dark</v>
      </c>
      <c r="P756" t="str">
        <f>_xlfn.XLOOKUP(Table1[[#This Row],[Customer ID]],customers!$A$1:$A$1001,customers!$I$1:$I$1001,,0)</f>
        <v>No</v>
      </c>
    </row>
    <row r="757" spans="1:16" x14ac:dyDescent="0.3">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6">
        <f>INDEX(products!$A$1:$G$49,MATCH(orders!$D757,products!$A$1:$A$49,0),MATCH(orders!K$1,products!$A$1:$G$1,0))</f>
        <v>0.2</v>
      </c>
      <c r="L757" s="5">
        <f>INDEX(products!$A$1:$G$49,MATCH(orders!$D757,products!$A$1:$A$49,0),MATCH(orders!L$1,products!$A$1:$G$1,0))</f>
        <v>4.7549999999999999</v>
      </c>
      <c r="M757" s="4">
        <f t="shared" si="33"/>
        <v>28.53</v>
      </c>
      <c r="N757" t="str">
        <f t="shared" si="34"/>
        <v>Librica</v>
      </c>
      <c r="O757" t="str">
        <f t="shared" si="35"/>
        <v>Light</v>
      </c>
      <c r="P757" t="str">
        <f>_xlfn.XLOOKUP(Table1[[#This Row],[Customer ID]],customers!$A$1:$A$1001,customers!$I$1:$I$1001,,0)</f>
        <v>No</v>
      </c>
    </row>
    <row r="758" spans="1:16" x14ac:dyDescent="0.3">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6">
        <f>INDEX(products!$A$1:$G$49,MATCH(orders!$D758,products!$A$1:$A$49,0),MATCH(orders!K$1,products!$A$1:$G$1,0))</f>
        <v>1</v>
      </c>
      <c r="L758" s="5">
        <f>INDEX(products!$A$1:$G$49,MATCH(orders!$D758,products!$A$1:$A$49,0),MATCH(orders!L$1,products!$A$1:$G$1,0))</f>
        <v>8.9499999999999993</v>
      </c>
      <c r="M758" s="4">
        <f t="shared" si="33"/>
        <v>35.799999999999997</v>
      </c>
      <c r="N758" t="str">
        <f t="shared" si="34"/>
        <v>Robusta</v>
      </c>
      <c r="O758" t="str">
        <f t="shared" si="35"/>
        <v>Dark</v>
      </c>
      <c r="P758" t="str">
        <f>_xlfn.XLOOKUP(Table1[[#This Row],[Customer ID]],customers!$A$1:$A$1001,customers!$I$1:$I$1001,,0)</f>
        <v>Yes</v>
      </c>
    </row>
    <row r="759" spans="1:16" x14ac:dyDescent="0.3">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6">
        <f>INDEX(products!$A$1:$G$49,MATCH(orders!$D759,products!$A$1:$A$49,0),MATCH(orders!K$1,products!$A$1:$G$1,0))</f>
        <v>0.5</v>
      </c>
      <c r="L759" s="5">
        <f>INDEX(products!$A$1:$G$49,MATCH(orders!$D759,products!$A$1:$A$49,0),MATCH(orders!L$1,products!$A$1:$G$1,0))</f>
        <v>5.97</v>
      </c>
      <c r="M759" s="4">
        <f t="shared" si="33"/>
        <v>17.91</v>
      </c>
      <c r="N759" t="str">
        <f t="shared" si="34"/>
        <v>Arabica</v>
      </c>
      <c r="O759" t="str">
        <f t="shared" si="35"/>
        <v>Dark</v>
      </c>
      <c r="P759" t="str">
        <f>_xlfn.XLOOKUP(Table1[[#This Row],[Customer ID]],customers!$A$1:$A$1001,customers!$I$1:$I$1001,,0)</f>
        <v>Yes</v>
      </c>
    </row>
    <row r="760" spans="1:16" x14ac:dyDescent="0.3">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6">
        <f>INDEX(products!$A$1:$G$49,MATCH(orders!$D760,products!$A$1:$A$49,0),MATCH(orders!K$1,products!$A$1:$G$1,0))</f>
        <v>1</v>
      </c>
      <c r="L760" s="5">
        <f>INDEX(products!$A$1:$G$49,MATCH(orders!$D760,products!$A$1:$A$49,0),MATCH(orders!L$1,products!$A$1:$G$1,0))</f>
        <v>8.9499999999999993</v>
      </c>
      <c r="M760" s="4">
        <f t="shared" si="33"/>
        <v>8.9499999999999993</v>
      </c>
      <c r="N760" t="str">
        <f t="shared" si="34"/>
        <v>Robusta</v>
      </c>
      <c r="O760" t="str">
        <f t="shared" si="35"/>
        <v>Dark</v>
      </c>
      <c r="P760" t="str">
        <f>_xlfn.XLOOKUP(Table1[[#This Row],[Customer ID]],customers!$A$1:$A$1001,customers!$I$1:$I$1001,,0)</f>
        <v>No</v>
      </c>
    </row>
    <row r="761" spans="1:16" x14ac:dyDescent="0.3">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6">
        <f>INDEX(products!$A$1:$G$49,MATCH(orders!$D761,products!$A$1:$A$49,0),MATCH(orders!K$1,products!$A$1:$G$1,0))</f>
        <v>2.5</v>
      </c>
      <c r="L761" s="5">
        <f>INDEX(products!$A$1:$G$49,MATCH(orders!$D761,products!$A$1:$A$49,0),MATCH(orders!L$1,products!$A$1:$G$1,0))</f>
        <v>29.784999999999997</v>
      </c>
      <c r="M761" s="4">
        <f t="shared" si="33"/>
        <v>29.784999999999997</v>
      </c>
      <c r="N761" t="str">
        <f t="shared" si="34"/>
        <v>Librica</v>
      </c>
      <c r="O761" t="str">
        <f t="shared" si="35"/>
        <v>Dark</v>
      </c>
      <c r="P761" t="str">
        <f>_xlfn.XLOOKUP(Table1[[#This Row],[Customer ID]],customers!$A$1:$A$1001,customers!$I$1:$I$1001,,0)</f>
        <v>Yes</v>
      </c>
    </row>
    <row r="762" spans="1:16" x14ac:dyDescent="0.3">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6">
        <f>INDEX(products!$A$1:$G$49,MATCH(orders!$D762,products!$A$1:$A$49,0),MATCH(orders!K$1,products!$A$1:$G$1,0))</f>
        <v>0.5</v>
      </c>
      <c r="L762" s="5">
        <f>INDEX(products!$A$1:$G$49,MATCH(orders!$D762,products!$A$1:$A$49,0),MATCH(orders!L$1,products!$A$1:$G$1,0))</f>
        <v>8.91</v>
      </c>
      <c r="M762" s="4">
        <f t="shared" si="33"/>
        <v>44.55</v>
      </c>
      <c r="N762" t="str">
        <f t="shared" si="34"/>
        <v>Excelsa</v>
      </c>
      <c r="O762" t="str">
        <f t="shared" si="35"/>
        <v>Light</v>
      </c>
      <c r="P762" t="str">
        <f>_xlfn.XLOOKUP(Table1[[#This Row],[Customer ID]],customers!$A$1:$A$1001,customers!$I$1:$I$1001,,0)</f>
        <v>No</v>
      </c>
    </row>
    <row r="763" spans="1:16" x14ac:dyDescent="0.3">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6">
        <f>INDEX(products!$A$1:$G$49,MATCH(orders!$D763,products!$A$1:$A$49,0),MATCH(orders!K$1,products!$A$1:$G$1,0))</f>
        <v>1</v>
      </c>
      <c r="L763" s="5">
        <f>INDEX(products!$A$1:$G$49,MATCH(orders!$D763,products!$A$1:$A$49,0),MATCH(orders!L$1,products!$A$1:$G$1,0))</f>
        <v>14.85</v>
      </c>
      <c r="M763" s="4">
        <f t="shared" si="33"/>
        <v>89.1</v>
      </c>
      <c r="N763" t="str">
        <f t="shared" si="34"/>
        <v>Excelsa</v>
      </c>
      <c r="O763" t="str">
        <f t="shared" si="35"/>
        <v>Light</v>
      </c>
      <c r="P763" t="str">
        <f>_xlfn.XLOOKUP(Table1[[#This Row],[Customer ID]],customers!$A$1:$A$1001,customers!$I$1:$I$1001,,0)</f>
        <v>Yes</v>
      </c>
    </row>
    <row r="764" spans="1:16" x14ac:dyDescent="0.3">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6">
        <f>INDEX(products!$A$1:$G$49,MATCH(orders!$D764,products!$A$1:$A$49,0),MATCH(orders!K$1,products!$A$1:$G$1,0))</f>
        <v>0.5</v>
      </c>
      <c r="L764" s="5">
        <f>INDEX(products!$A$1:$G$49,MATCH(orders!$D764,products!$A$1:$A$49,0),MATCH(orders!L$1,products!$A$1:$G$1,0))</f>
        <v>8.73</v>
      </c>
      <c r="M764" s="4">
        <f t="shared" si="33"/>
        <v>43.650000000000006</v>
      </c>
      <c r="N764" t="str">
        <f t="shared" si="34"/>
        <v>Librica</v>
      </c>
      <c r="O764" t="str">
        <f t="shared" si="35"/>
        <v>Medium</v>
      </c>
      <c r="P764" t="str">
        <f>_xlfn.XLOOKUP(Table1[[#This Row],[Customer ID]],customers!$A$1:$A$1001,customers!$I$1:$I$1001,,0)</f>
        <v>No</v>
      </c>
    </row>
    <row r="765" spans="1:16" x14ac:dyDescent="0.3">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6">
        <f>INDEX(products!$A$1:$G$49,MATCH(orders!$D765,products!$A$1:$A$49,0),MATCH(orders!K$1,products!$A$1:$G$1,0))</f>
        <v>0.5</v>
      </c>
      <c r="L765" s="5">
        <f>INDEX(products!$A$1:$G$49,MATCH(orders!$D765,products!$A$1:$A$49,0),MATCH(orders!L$1,products!$A$1:$G$1,0))</f>
        <v>7.77</v>
      </c>
      <c r="M765" s="4">
        <f t="shared" si="33"/>
        <v>23.31</v>
      </c>
      <c r="N765" t="str">
        <f t="shared" si="34"/>
        <v>Arabica</v>
      </c>
      <c r="O765" t="str">
        <f t="shared" si="35"/>
        <v>Light</v>
      </c>
      <c r="P765" t="str">
        <f>_xlfn.XLOOKUP(Table1[[#This Row],[Customer ID]],customers!$A$1:$A$1001,customers!$I$1:$I$1001,,0)</f>
        <v>No</v>
      </c>
    </row>
    <row r="766" spans="1:16" x14ac:dyDescent="0.3">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6">
        <f>INDEX(products!$A$1:$G$49,MATCH(orders!$D766,products!$A$1:$A$49,0),MATCH(orders!K$1,products!$A$1:$G$1,0))</f>
        <v>2.5</v>
      </c>
      <c r="L766" s="5">
        <f>INDEX(products!$A$1:$G$49,MATCH(orders!$D766,products!$A$1:$A$49,0),MATCH(orders!L$1,products!$A$1:$G$1,0))</f>
        <v>29.784999999999997</v>
      </c>
      <c r="M766" s="4">
        <f t="shared" si="33"/>
        <v>178.70999999999998</v>
      </c>
      <c r="N766" t="str">
        <f t="shared" si="34"/>
        <v>Arabica</v>
      </c>
      <c r="O766" t="str">
        <f t="shared" si="35"/>
        <v>Light</v>
      </c>
      <c r="P766" t="str">
        <f>_xlfn.XLOOKUP(Table1[[#This Row],[Customer ID]],customers!$A$1:$A$1001,customers!$I$1:$I$1001,,0)</f>
        <v>Yes</v>
      </c>
    </row>
    <row r="767" spans="1:16" x14ac:dyDescent="0.3">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6">
        <f>INDEX(products!$A$1:$G$49,MATCH(orders!$D767,products!$A$1:$A$49,0),MATCH(orders!K$1,products!$A$1:$G$1,0))</f>
        <v>1</v>
      </c>
      <c r="L767" s="5">
        <f>INDEX(products!$A$1:$G$49,MATCH(orders!$D767,products!$A$1:$A$49,0),MATCH(orders!L$1,products!$A$1:$G$1,0))</f>
        <v>9.9499999999999993</v>
      </c>
      <c r="M767" s="4">
        <f t="shared" si="33"/>
        <v>59.699999999999996</v>
      </c>
      <c r="N767" t="str">
        <f t="shared" si="34"/>
        <v>Robusta</v>
      </c>
      <c r="O767" t="str">
        <f t="shared" si="35"/>
        <v>Medium</v>
      </c>
      <c r="P767" t="str">
        <f>_xlfn.XLOOKUP(Table1[[#This Row],[Customer ID]],customers!$A$1:$A$1001,customers!$I$1:$I$1001,,0)</f>
        <v>Yes</v>
      </c>
    </row>
    <row r="768" spans="1:16" x14ac:dyDescent="0.3">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6">
        <f>INDEX(products!$A$1:$G$49,MATCH(orders!$D768,products!$A$1:$A$49,0),MATCH(orders!K$1,products!$A$1:$G$1,0))</f>
        <v>0.5</v>
      </c>
      <c r="L768" s="5">
        <f>INDEX(products!$A$1:$G$49,MATCH(orders!$D768,products!$A$1:$A$49,0),MATCH(orders!L$1,products!$A$1:$G$1,0))</f>
        <v>7.77</v>
      </c>
      <c r="M768" s="4">
        <f t="shared" si="33"/>
        <v>15.54</v>
      </c>
      <c r="N768" t="str">
        <f t="shared" si="34"/>
        <v>Arabica</v>
      </c>
      <c r="O768" t="str">
        <f t="shared" si="35"/>
        <v>Light</v>
      </c>
      <c r="P768" t="str">
        <f>_xlfn.XLOOKUP(Table1[[#This Row],[Customer ID]],customers!$A$1:$A$1001,customers!$I$1:$I$1001,,0)</f>
        <v>Yes</v>
      </c>
    </row>
    <row r="769" spans="1:16" x14ac:dyDescent="0.3">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6">
        <f>INDEX(products!$A$1:$G$49,MATCH(orders!$D769,products!$A$1:$A$49,0),MATCH(orders!K$1,products!$A$1:$G$1,0))</f>
        <v>2.5</v>
      </c>
      <c r="L769" s="5">
        <f>INDEX(products!$A$1:$G$49,MATCH(orders!$D769,products!$A$1:$A$49,0),MATCH(orders!L$1,products!$A$1:$G$1,0))</f>
        <v>29.784999999999997</v>
      </c>
      <c r="M769" s="4">
        <f t="shared" si="33"/>
        <v>89.35499999999999</v>
      </c>
      <c r="N769" t="str">
        <f t="shared" si="34"/>
        <v>Arabica</v>
      </c>
      <c r="O769" t="str">
        <f t="shared" si="35"/>
        <v>Light</v>
      </c>
      <c r="P769" t="str">
        <f>_xlfn.XLOOKUP(Table1[[#This Row],[Customer ID]],customers!$A$1:$A$1001,customers!$I$1:$I$1001,,0)</f>
        <v>No</v>
      </c>
    </row>
    <row r="770" spans="1:16" x14ac:dyDescent="0.3">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6">
        <f>INDEX(products!$A$1:$G$49,MATCH(orders!$D770,products!$A$1:$A$49,0),MATCH(orders!K$1,products!$A$1:$G$1,0))</f>
        <v>1</v>
      </c>
      <c r="L770" s="5">
        <f>INDEX(products!$A$1:$G$49,MATCH(orders!$D770,products!$A$1:$A$49,0),MATCH(orders!L$1,products!$A$1:$G$1,0))</f>
        <v>11.95</v>
      </c>
      <c r="M770" s="4">
        <f t="shared" si="33"/>
        <v>23.9</v>
      </c>
      <c r="N770" t="str">
        <f t="shared" si="34"/>
        <v>Robusta</v>
      </c>
      <c r="O770" t="str">
        <f t="shared" si="35"/>
        <v>Light</v>
      </c>
      <c r="P770" t="str">
        <f>_xlfn.XLOOKUP(Table1[[#This Row],[Customer ID]],customers!$A$1:$A$1001,customers!$I$1:$I$1001,,0)</f>
        <v>No</v>
      </c>
    </row>
    <row r="771" spans="1:16" x14ac:dyDescent="0.3">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6">
        <f>INDEX(products!$A$1:$G$49,MATCH(orders!$D771,products!$A$1:$A$49,0),MATCH(orders!K$1,products!$A$1:$G$1,0))</f>
        <v>2.5</v>
      </c>
      <c r="L771" s="5">
        <f>INDEX(products!$A$1:$G$49,MATCH(orders!$D771,products!$A$1:$A$49,0),MATCH(orders!L$1,products!$A$1:$G$1,0))</f>
        <v>22.884999999999998</v>
      </c>
      <c r="M771" s="4">
        <f t="shared" ref="M771:M834" si="36">L771*E771</f>
        <v>137.31</v>
      </c>
      <c r="N771" t="str">
        <f t="shared" ref="N771:N834" si="37">IF(I771="Rob","Robusta",IF(I771="Exc","Excelsa",IF(I771="Ara","Arabica",IF(I771="Lib","Librica",""))))</f>
        <v>Robusta</v>
      </c>
      <c r="O771" t="str">
        <f t="shared" ref="O771:O834" si="38">IF(J771="M","Medium",IF(J771="L","Light",IF(J771="D","Dark","")))</f>
        <v>Medium</v>
      </c>
      <c r="P771" t="str">
        <f>_xlfn.XLOOKUP(Table1[[#This Row],[Customer ID]],customers!$A$1:$A$1001,customers!$I$1:$I$1001,,0)</f>
        <v>No</v>
      </c>
    </row>
    <row r="772" spans="1:16" x14ac:dyDescent="0.3">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6">
        <f>INDEX(products!$A$1:$G$49,MATCH(orders!$D772,products!$A$1:$A$49,0),MATCH(orders!K$1,products!$A$1:$G$1,0))</f>
        <v>1</v>
      </c>
      <c r="L772" s="5">
        <f>INDEX(products!$A$1:$G$49,MATCH(orders!$D772,products!$A$1:$A$49,0),MATCH(orders!L$1,products!$A$1:$G$1,0))</f>
        <v>9.9499999999999993</v>
      </c>
      <c r="M772" s="4">
        <f t="shared" si="36"/>
        <v>9.9499999999999993</v>
      </c>
      <c r="N772" t="str">
        <f t="shared" si="37"/>
        <v>Arabica</v>
      </c>
      <c r="O772" t="str">
        <f t="shared" si="38"/>
        <v>Dark</v>
      </c>
      <c r="P772" t="str">
        <f>_xlfn.XLOOKUP(Table1[[#This Row],[Customer ID]],customers!$A$1:$A$1001,customers!$I$1:$I$1001,,0)</f>
        <v>No</v>
      </c>
    </row>
    <row r="773" spans="1:16" x14ac:dyDescent="0.3">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6">
        <f>INDEX(products!$A$1:$G$49,MATCH(orders!$D773,products!$A$1:$A$49,0),MATCH(orders!K$1,products!$A$1:$G$1,0))</f>
        <v>0.5</v>
      </c>
      <c r="L773" s="5">
        <f>INDEX(products!$A$1:$G$49,MATCH(orders!$D773,products!$A$1:$A$49,0),MATCH(orders!L$1,products!$A$1:$G$1,0))</f>
        <v>7.169999999999999</v>
      </c>
      <c r="M773" s="4">
        <f t="shared" si="36"/>
        <v>21.509999999999998</v>
      </c>
      <c r="N773" t="str">
        <f t="shared" si="37"/>
        <v>Robusta</v>
      </c>
      <c r="O773" t="str">
        <f t="shared" si="38"/>
        <v>Light</v>
      </c>
      <c r="P773" t="str">
        <f>_xlfn.XLOOKUP(Table1[[#This Row],[Customer ID]],customers!$A$1:$A$1001,customers!$I$1:$I$1001,,0)</f>
        <v>No</v>
      </c>
    </row>
    <row r="774" spans="1:16" x14ac:dyDescent="0.3">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6">
        <f>INDEX(products!$A$1:$G$49,MATCH(orders!$D774,products!$A$1:$A$49,0),MATCH(orders!K$1,products!$A$1:$G$1,0))</f>
        <v>1</v>
      </c>
      <c r="L774" s="5">
        <f>INDEX(products!$A$1:$G$49,MATCH(orders!$D774,products!$A$1:$A$49,0),MATCH(orders!L$1,products!$A$1:$G$1,0))</f>
        <v>13.75</v>
      </c>
      <c r="M774" s="4">
        <f t="shared" si="36"/>
        <v>82.5</v>
      </c>
      <c r="N774" t="str">
        <f t="shared" si="37"/>
        <v>Excelsa</v>
      </c>
      <c r="O774" t="str">
        <f t="shared" si="38"/>
        <v>Medium</v>
      </c>
      <c r="P774" t="str">
        <f>_xlfn.XLOOKUP(Table1[[#This Row],[Customer ID]],customers!$A$1:$A$1001,customers!$I$1:$I$1001,,0)</f>
        <v>No</v>
      </c>
    </row>
    <row r="775" spans="1:16" x14ac:dyDescent="0.3">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6">
        <f>INDEX(products!$A$1:$G$49,MATCH(orders!$D775,products!$A$1:$A$49,0),MATCH(orders!K$1,products!$A$1:$G$1,0))</f>
        <v>0.2</v>
      </c>
      <c r="L775" s="5">
        <f>INDEX(products!$A$1:$G$49,MATCH(orders!$D775,products!$A$1:$A$49,0),MATCH(orders!L$1,products!$A$1:$G$1,0))</f>
        <v>4.3650000000000002</v>
      </c>
      <c r="M775" s="4">
        <f t="shared" si="36"/>
        <v>8.73</v>
      </c>
      <c r="N775" t="str">
        <f t="shared" si="37"/>
        <v>Librica</v>
      </c>
      <c r="O775" t="str">
        <f t="shared" si="38"/>
        <v>Medium</v>
      </c>
      <c r="P775" t="str">
        <f>_xlfn.XLOOKUP(Table1[[#This Row],[Customer ID]],customers!$A$1:$A$1001,customers!$I$1:$I$1001,,0)</f>
        <v>No</v>
      </c>
    </row>
    <row r="776" spans="1:16" x14ac:dyDescent="0.3">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6">
        <f>INDEX(products!$A$1:$G$49,MATCH(orders!$D776,products!$A$1:$A$49,0),MATCH(orders!K$1,products!$A$1:$G$1,0))</f>
        <v>1</v>
      </c>
      <c r="L776" s="5">
        <f>INDEX(products!$A$1:$G$49,MATCH(orders!$D776,products!$A$1:$A$49,0),MATCH(orders!L$1,products!$A$1:$G$1,0))</f>
        <v>9.9499999999999993</v>
      </c>
      <c r="M776" s="4">
        <f t="shared" si="36"/>
        <v>19.899999999999999</v>
      </c>
      <c r="N776" t="str">
        <f t="shared" si="37"/>
        <v>Robusta</v>
      </c>
      <c r="O776" t="str">
        <f t="shared" si="38"/>
        <v>Medium</v>
      </c>
      <c r="P776" t="str">
        <f>_xlfn.XLOOKUP(Table1[[#This Row],[Customer ID]],customers!$A$1:$A$1001,customers!$I$1:$I$1001,,0)</f>
        <v>Yes</v>
      </c>
    </row>
    <row r="777" spans="1:16" x14ac:dyDescent="0.3">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6">
        <f>INDEX(products!$A$1:$G$49,MATCH(orders!$D777,products!$A$1:$A$49,0),MATCH(orders!K$1,products!$A$1:$G$1,0))</f>
        <v>0.5</v>
      </c>
      <c r="L777" s="5">
        <f>INDEX(products!$A$1:$G$49,MATCH(orders!$D777,products!$A$1:$A$49,0),MATCH(orders!L$1,products!$A$1:$G$1,0))</f>
        <v>8.91</v>
      </c>
      <c r="M777" s="4">
        <f t="shared" si="36"/>
        <v>17.82</v>
      </c>
      <c r="N777" t="str">
        <f t="shared" si="37"/>
        <v>Excelsa</v>
      </c>
      <c r="O777" t="str">
        <f t="shared" si="38"/>
        <v>Light</v>
      </c>
      <c r="P777" t="str">
        <f>_xlfn.XLOOKUP(Table1[[#This Row],[Customer ID]],customers!$A$1:$A$1001,customers!$I$1:$I$1001,,0)</f>
        <v>Yes</v>
      </c>
    </row>
    <row r="778" spans="1:16" x14ac:dyDescent="0.3">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6">
        <f>INDEX(products!$A$1:$G$49,MATCH(orders!$D778,products!$A$1:$A$49,0),MATCH(orders!K$1,products!$A$1:$G$1,0))</f>
        <v>0.5</v>
      </c>
      <c r="L778" s="5">
        <f>INDEX(products!$A$1:$G$49,MATCH(orders!$D778,products!$A$1:$A$49,0),MATCH(orders!L$1,products!$A$1:$G$1,0))</f>
        <v>6.75</v>
      </c>
      <c r="M778" s="4">
        <f t="shared" si="36"/>
        <v>20.25</v>
      </c>
      <c r="N778" t="str">
        <f t="shared" si="37"/>
        <v>Arabica</v>
      </c>
      <c r="O778" t="str">
        <f t="shared" si="38"/>
        <v>Medium</v>
      </c>
      <c r="P778" t="str">
        <f>_xlfn.XLOOKUP(Table1[[#This Row],[Customer ID]],customers!$A$1:$A$1001,customers!$I$1:$I$1001,,0)</f>
        <v>No</v>
      </c>
    </row>
    <row r="779" spans="1:16" x14ac:dyDescent="0.3">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6">
        <f>INDEX(products!$A$1:$G$49,MATCH(orders!$D779,products!$A$1:$A$49,0),MATCH(orders!K$1,products!$A$1:$G$1,0))</f>
        <v>2.5</v>
      </c>
      <c r="L779" s="5">
        <f>INDEX(products!$A$1:$G$49,MATCH(orders!$D779,products!$A$1:$A$49,0),MATCH(orders!L$1,products!$A$1:$G$1,0))</f>
        <v>29.784999999999997</v>
      </c>
      <c r="M779" s="4">
        <f t="shared" si="36"/>
        <v>59.569999999999993</v>
      </c>
      <c r="N779" t="str">
        <f t="shared" si="37"/>
        <v>Arabica</v>
      </c>
      <c r="O779" t="str">
        <f t="shared" si="38"/>
        <v>Light</v>
      </c>
      <c r="P779" t="str">
        <f>_xlfn.XLOOKUP(Table1[[#This Row],[Customer ID]],customers!$A$1:$A$1001,customers!$I$1:$I$1001,,0)</f>
        <v>No</v>
      </c>
    </row>
    <row r="780" spans="1:16" x14ac:dyDescent="0.3">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6">
        <f>INDEX(products!$A$1:$G$49,MATCH(orders!$D780,products!$A$1:$A$49,0),MATCH(orders!K$1,products!$A$1:$G$1,0))</f>
        <v>0.5</v>
      </c>
      <c r="L780" s="5">
        <f>INDEX(products!$A$1:$G$49,MATCH(orders!$D780,products!$A$1:$A$49,0),MATCH(orders!L$1,products!$A$1:$G$1,0))</f>
        <v>9.51</v>
      </c>
      <c r="M780" s="4">
        <f t="shared" si="36"/>
        <v>19.02</v>
      </c>
      <c r="N780" t="str">
        <f t="shared" si="37"/>
        <v>Librica</v>
      </c>
      <c r="O780" t="str">
        <f t="shared" si="38"/>
        <v>Light</v>
      </c>
      <c r="P780" t="str">
        <f>_xlfn.XLOOKUP(Table1[[#This Row],[Customer ID]],customers!$A$1:$A$1001,customers!$I$1:$I$1001,,0)</f>
        <v>Yes</v>
      </c>
    </row>
    <row r="781" spans="1:16" x14ac:dyDescent="0.3">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6">
        <f>INDEX(products!$A$1:$G$49,MATCH(orders!$D781,products!$A$1:$A$49,0),MATCH(orders!K$1,products!$A$1:$G$1,0))</f>
        <v>1</v>
      </c>
      <c r="L781" s="5">
        <f>INDEX(products!$A$1:$G$49,MATCH(orders!$D781,products!$A$1:$A$49,0),MATCH(orders!L$1,products!$A$1:$G$1,0))</f>
        <v>12.95</v>
      </c>
      <c r="M781" s="4">
        <f t="shared" si="36"/>
        <v>77.699999999999989</v>
      </c>
      <c r="N781" t="str">
        <f t="shared" si="37"/>
        <v>Librica</v>
      </c>
      <c r="O781" t="str">
        <f t="shared" si="38"/>
        <v>Dark</v>
      </c>
      <c r="P781" t="str">
        <f>_xlfn.XLOOKUP(Table1[[#This Row],[Customer ID]],customers!$A$1:$A$1001,customers!$I$1:$I$1001,,0)</f>
        <v>Yes</v>
      </c>
    </row>
    <row r="782" spans="1:16" x14ac:dyDescent="0.3">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6">
        <f>INDEX(products!$A$1:$G$49,MATCH(orders!$D782,products!$A$1:$A$49,0),MATCH(orders!K$1,products!$A$1:$G$1,0))</f>
        <v>1</v>
      </c>
      <c r="L782" s="5">
        <f>INDEX(products!$A$1:$G$49,MATCH(orders!$D782,products!$A$1:$A$49,0),MATCH(orders!L$1,products!$A$1:$G$1,0))</f>
        <v>13.75</v>
      </c>
      <c r="M782" s="4">
        <f t="shared" si="36"/>
        <v>41.25</v>
      </c>
      <c r="N782" t="str">
        <f t="shared" si="37"/>
        <v>Excelsa</v>
      </c>
      <c r="O782" t="str">
        <f t="shared" si="38"/>
        <v>Medium</v>
      </c>
      <c r="P782" t="str">
        <f>_xlfn.XLOOKUP(Table1[[#This Row],[Customer ID]],customers!$A$1:$A$1001,customers!$I$1:$I$1001,,0)</f>
        <v>No</v>
      </c>
    </row>
    <row r="783" spans="1:16" x14ac:dyDescent="0.3">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6">
        <f>INDEX(products!$A$1:$G$49,MATCH(orders!$D783,products!$A$1:$A$49,0),MATCH(orders!K$1,products!$A$1:$G$1,0))</f>
        <v>2.5</v>
      </c>
      <c r="L783" s="5">
        <f>INDEX(products!$A$1:$G$49,MATCH(orders!$D783,products!$A$1:$A$49,0),MATCH(orders!L$1,products!$A$1:$G$1,0))</f>
        <v>36.454999999999998</v>
      </c>
      <c r="M783" s="4">
        <f t="shared" si="36"/>
        <v>145.82</v>
      </c>
      <c r="N783" t="str">
        <f t="shared" si="37"/>
        <v>Librica</v>
      </c>
      <c r="O783" t="str">
        <f t="shared" si="38"/>
        <v>Light</v>
      </c>
      <c r="P783" t="str">
        <f>_xlfn.XLOOKUP(Table1[[#This Row],[Customer ID]],customers!$A$1:$A$1001,customers!$I$1:$I$1001,,0)</f>
        <v>No</v>
      </c>
    </row>
    <row r="784" spans="1:16" x14ac:dyDescent="0.3">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6">
        <f>INDEX(products!$A$1:$G$49,MATCH(orders!$D784,products!$A$1:$A$49,0),MATCH(orders!K$1,products!$A$1:$G$1,0))</f>
        <v>0.2</v>
      </c>
      <c r="L784" s="5">
        <f>INDEX(products!$A$1:$G$49,MATCH(orders!$D784,products!$A$1:$A$49,0),MATCH(orders!L$1,products!$A$1:$G$1,0))</f>
        <v>4.4550000000000001</v>
      </c>
      <c r="M784" s="4">
        <f t="shared" si="36"/>
        <v>26.73</v>
      </c>
      <c r="N784" t="str">
        <f t="shared" si="37"/>
        <v>Excelsa</v>
      </c>
      <c r="O784" t="str">
        <f t="shared" si="38"/>
        <v>Light</v>
      </c>
      <c r="P784" t="str">
        <f>_xlfn.XLOOKUP(Table1[[#This Row],[Customer ID]],customers!$A$1:$A$1001,customers!$I$1:$I$1001,,0)</f>
        <v>No</v>
      </c>
    </row>
    <row r="785" spans="1:16" x14ac:dyDescent="0.3">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6">
        <f>INDEX(products!$A$1:$G$49,MATCH(orders!$D785,products!$A$1:$A$49,0),MATCH(orders!K$1,products!$A$1:$G$1,0))</f>
        <v>0.5</v>
      </c>
      <c r="L785" s="5">
        <f>INDEX(products!$A$1:$G$49,MATCH(orders!$D785,products!$A$1:$A$49,0),MATCH(orders!L$1,products!$A$1:$G$1,0))</f>
        <v>8.73</v>
      </c>
      <c r="M785" s="4">
        <f t="shared" si="36"/>
        <v>43.650000000000006</v>
      </c>
      <c r="N785" t="str">
        <f t="shared" si="37"/>
        <v>Librica</v>
      </c>
      <c r="O785" t="str">
        <f t="shared" si="38"/>
        <v>Medium</v>
      </c>
      <c r="P785" t="str">
        <f>_xlfn.XLOOKUP(Table1[[#This Row],[Customer ID]],customers!$A$1:$A$1001,customers!$I$1:$I$1001,,0)</f>
        <v>Yes</v>
      </c>
    </row>
    <row r="786" spans="1:16" x14ac:dyDescent="0.3">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6">
        <f>INDEX(products!$A$1:$G$49,MATCH(orders!$D786,products!$A$1:$A$49,0),MATCH(orders!K$1,products!$A$1:$G$1,0))</f>
        <v>1</v>
      </c>
      <c r="L786" s="5">
        <f>INDEX(products!$A$1:$G$49,MATCH(orders!$D786,products!$A$1:$A$49,0),MATCH(orders!L$1,products!$A$1:$G$1,0))</f>
        <v>15.85</v>
      </c>
      <c r="M786" s="4">
        <f t="shared" si="36"/>
        <v>31.7</v>
      </c>
      <c r="N786" t="str">
        <f t="shared" si="37"/>
        <v>Librica</v>
      </c>
      <c r="O786" t="str">
        <f t="shared" si="38"/>
        <v>Light</v>
      </c>
      <c r="P786" t="str">
        <f>_xlfn.XLOOKUP(Table1[[#This Row],[Customer ID]],customers!$A$1:$A$1001,customers!$I$1:$I$1001,,0)</f>
        <v>No</v>
      </c>
    </row>
    <row r="787" spans="1:16" x14ac:dyDescent="0.3">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6">
        <f>INDEX(products!$A$1:$G$49,MATCH(orders!$D787,products!$A$1:$A$49,0),MATCH(orders!K$1,products!$A$1:$G$1,0))</f>
        <v>2.5</v>
      </c>
      <c r="L787" s="5">
        <f>INDEX(products!$A$1:$G$49,MATCH(orders!$D787,products!$A$1:$A$49,0),MATCH(orders!L$1,products!$A$1:$G$1,0))</f>
        <v>22.884999999999998</v>
      </c>
      <c r="M787" s="4">
        <f t="shared" si="36"/>
        <v>22.884999999999998</v>
      </c>
      <c r="N787" t="str">
        <f t="shared" si="37"/>
        <v>Arabica</v>
      </c>
      <c r="O787" t="str">
        <f t="shared" si="38"/>
        <v>Dark</v>
      </c>
      <c r="P787" t="str">
        <f>_xlfn.XLOOKUP(Table1[[#This Row],[Customer ID]],customers!$A$1:$A$1001,customers!$I$1:$I$1001,,0)</f>
        <v>No</v>
      </c>
    </row>
    <row r="788" spans="1:16" x14ac:dyDescent="0.3">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6">
        <f>INDEX(products!$A$1:$G$49,MATCH(orders!$D788,products!$A$1:$A$49,0),MATCH(orders!K$1,products!$A$1:$G$1,0))</f>
        <v>2.5</v>
      </c>
      <c r="L788" s="5">
        <f>INDEX(products!$A$1:$G$49,MATCH(orders!$D788,products!$A$1:$A$49,0),MATCH(orders!L$1,products!$A$1:$G$1,0))</f>
        <v>27.945</v>
      </c>
      <c r="M788" s="4">
        <f t="shared" si="36"/>
        <v>27.945</v>
      </c>
      <c r="N788" t="str">
        <f t="shared" si="37"/>
        <v>Excelsa</v>
      </c>
      <c r="O788" t="str">
        <f t="shared" si="38"/>
        <v>Dark</v>
      </c>
      <c r="P788" t="str">
        <f>_xlfn.XLOOKUP(Table1[[#This Row],[Customer ID]],customers!$A$1:$A$1001,customers!$I$1:$I$1001,,0)</f>
        <v>Yes</v>
      </c>
    </row>
    <row r="789" spans="1:16" x14ac:dyDescent="0.3">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6">
        <f>INDEX(products!$A$1:$G$49,MATCH(orders!$D789,products!$A$1:$A$49,0),MATCH(orders!K$1,products!$A$1:$G$1,0))</f>
        <v>1</v>
      </c>
      <c r="L789" s="5">
        <f>INDEX(products!$A$1:$G$49,MATCH(orders!$D789,products!$A$1:$A$49,0),MATCH(orders!L$1,products!$A$1:$G$1,0))</f>
        <v>13.75</v>
      </c>
      <c r="M789" s="4">
        <f t="shared" si="36"/>
        <v>82.5</v>
      </c>
      <c r="N789" t="str">
        <f t="shared" si="37"/>
        <v>Excelsa</v>
      </c>
      <c r="O789" t="str">
        <f t="shared" si="38"/>
        <v>Medium</v>
      </c>
      <c r="P789" t="str">
        <f>_xlfn.XLOOKUP(Table1[[#This Row],[Customer ID]],customers!$A$1:$A$1001,customers!$I$1:$I$1001,,0)</f>
        <v>Yes</v>
      </c>
    </row>
    <row r="790" spans="1:16" x14ac:dyDescent="0.3">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6">
        <f>INDEX(products!$A$1:$G$49,MATCH(orders!$D790,products!$A$1:$A$49,0),MATCH(orders!K$1,products!$A$1:$G$1,0))</f>
        <v>2.5</v>
      </c>
      <c r="L790" s="5">
        <f>INDEX(products!$A$1:$G$49,MATCH(orders!$D790,products!$A$1:$A$49,0),MATCH(orders!L$1,products!$A$1:$G$1,0))</f>
        <v>22.884999999999998</v>
      </c>
      <c r="M790" s="4">
        <f t="shared" si="36"/>
        <v>45.769999999999996</v>
      </c>
      <c r="N790" t="str">
        <f t="shared" si="37"/>
        <v>Robusta</v>
      </c>
      <c r="O790" t="str">
        <f t="shared" si="38"/>
        <v>Medium</v>
      </c>
      <c r="P790" t="str">
        <f>_xlfn.XLOOKUP(Table1[[#This Row],[Customer ID]],customers!$A$1:$A$1001,customers!$I$1:$I$1001,,0)</f>
        <v>Yes</v>
      </c>
    </row>
    <row r="791" spans="1:16" x14ac:dyDescent="0.3">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6">
        <f>INDEX(products!$A$1:$G$49,MATCH(orders!$D791,products!$A$1:$A$49,0),MATCH(orders!K$1,products!$A$1:$G$1,0))</f>
        <v>1</v>
      </c>
      <c r="L791" s="5">
        <f>INDEX(products!$A$1:$G$49,MATCH(orders!$D791,products!$A$1:$A$49,0),MATCH(orders!L$1,products!$A$1:$G$1,0))</f>
        <v>12.95</v>
      </c>
      <c r="M791" s="4">
        <f t="shared" si="36"/>
        <v>77.699999999999989</v>
      </c>
      <c r="N791" t="str">
        <f t="shared" si="37"/>
        <v>Arabica</v>
      </c>
      <c r="O791" t="str">
        <f t="shared" si="38"/>
        <v>Light</v>
      </c>
      <c r="P791" t="str">
        <f>_xlfn.XLOOKUP(Table1[[#This Row],[Customer ID]],customers!$A$1:$A$1001,customers!$I$1:$I$1001,,0)</f>
        <v>No</v>
      </c>
    </row>
    <row r="792" spans="1:16" x14ac:dyDescent="0.3">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6">
        <f>INDEX(products!$A$1:$G$49,MATCH(orders!$D792,products!$A$1:$A$49,0),MATCH(orders!K$1,products!$A$1:$G$1,0))</f>
        <v>0.5</v>
      </c>
      <c r="L792" s="5">
        <f>INDEX(products!$A$1:$G$49,MATCH(orders!$D792,products!$A$1:$A$49,0),MATCH(orders!L$1,products!$A$1:$G$1,0))</f>
        <v>7.77</v>
      </c>
      <c r="M792" s="4">
        <f t="shared" si="36"/>
        <v>23.31</v>
      </c>
      <c r="N792" t="str">
        <f t="shared" si="37"/>
        <v>Arabica</v>
      </c>
      <c r="O792" t="str">
        <f t="shared" si="38"/>
        <v>Light</v>
      </c>
      <c r="P792" t="str">
        <f>_xlfn.XLOOKUP(Table1[[#This Row],[Customer ID]],customers!$A$1:$A$1001,customers!$I$1:$I$1001,,0)</f>
        <v>No</v>
      </c>
    </row>
    <row r="793" spans="1:16" x14ac:dyDescent="0.3">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6">
        <f>INDEX(products!$A$1:$G$49,MATCH(orders!$D793,products!$A$1:$A$49,0),MATCH(orders!K$1,products!$A$1:$G$1,0))</f>
        <v>0.2</v>
      </c>
      <c r="L793" s="5">
        <f>INDEX(products!$A$1:$G$49,MATCH(orders!$D793,products!$A$1:$A$49,0),MATCH(orders!L$1,products!$A$1:$G$1,0))</f>
        <v>4.7549999999999999</v>
      </c>
      <c r="M793" s="4">
        <f t="shared" si="36"/>
        <v>23.774999999999999</v>
      </c>
      <c r="N793" t="str">
        <f t="shared" si="37"/>
        <v>Librica</v>
      </c>
      <c r="O793" t="str">
        <f t="shared" si="38"/>
        <v>Light</v>
      </c>
      <c r="P793" t="str">
        <f>_xlfn.XLOOKUP(Table1[[#This Row],[Customer ID]],customers!$A$1:$A$1001,customers!$I$1:$I$1001,,0)</f>
        <v>Yes</v>
      </c>
    </row>
    <row r="794" spans="1:16" x14ac:dyDescent="0.3">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6">
        <f>INDEX(products!$A$1:$G$49,MATCH(orders!$D794,products!$A$1:$A$49,0),MATCH(orders!K$1,products!$A$1:$G$1,0))</f>
        <v>0.5</v>
      </c>
      <c r="L794" s="5">
        <f>INDEX(products!$A$1:$G$49,MATCH(orders!$D794,products!$A$1:$A$49,0),MATCH(orders!L$1,products!$A$1:$G$1,0))</f>
        <v>8.73</v>
      </c>
      <c r="M794" s="4">
        <f t="shared" si="36"/>
        <v>52.38</v>
      </c>
      <c r="N794" t="str">
        <f t="shared" si="37"/>
        <v>Librica</v>
      </c>
      <c r="O794" t="str">
        <f t="shared" si="38"/>
        <v>Medium</v>
      </c>
      <c r="P794" t="str">
        <f>_xlfn.XLOOKUP(Table1[[#This Row],[Customer ID]],customers!$A$1:$A$1001,customers!$I$1:$I$1001,,0)</f>
        <v>Yes</v>
      </c>
    </row>
    <row r="795" spans="1:16" x14ac:dyDescent="0.3">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6">
        <f>INDEX(products!$A$1:$G$49,MATCH(orders!$D795,products!$A$1:$A$49,0),MATCH(orders!K$1,products!$A$1:$G$1,0))</f>
        <v>0.2</v>
      </c>
      <c r="L795" s="5">
        <f>INDEX(products!$A$1:$G$49,MATCH(orders!$D795,products!$A$1:$A$49,0),MATCH(orders!L$1,products!$A$1:$G$1,0))</f>
        <v>3.5849999999999995</v>
      </c>
      <c r="M795" s="4">
        <f t="shared" si="36"/>
        <v>17.924999999999997</v>
      </c>
      <c r="N795" t="str">
        <f t="shared" si="37"/>
        <v>Robusta</v>
      </c>
      <c r="O795" t="str">
        <f t="shared" si="38"/>
        <v>Light</v>
      </c>
      <c r="P795" t="str">
        <f>_xlfn.XLOOKUP(Table1[[#This Row],[Customer ID]],customers!$A$1:$A$1001,customers!$I$1:$I$1001,,0)</f>
        <v>No</v>
      </c>
    </row>
    <row r="796" spans="1:16" x14ac:dyDescent="0.3">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6">
        <f>INDEX(products!$A$1:$G$49,MATCH(orders!$D796,products!$A$1:$A$49,0),MATCH(orders!K$1,products!$A$1:$G$1,0))</f>
        <v>2.5</v>
      </c>
      <c r="L796" s="5">
        <f>INDEX(products!$A$1:$G$49,MATCH(orders!$D796,products!$A$1:$A$49,0),MATCH(orders!L$1,products!$A$1:$G$1,0))</f>
        <v>29.784999999999997</v>
      </c>
      <c r="M796" s="4">
        <f t="shared" si="36"/>
        <v>148.92499999999998</v>
      </c>
      <c r="N796" t="str">
        <f t="shared" si="37"/>
        <v>Arabica</v>
      </c>
      <c r="O796" t="str">
        <f t="shared" si="38"/>
        <v>Light</v>
      </c>
      <c r="P796" t="str">
        <f>_xlfn.XLOOKUP(Table1[[#This Row],[Customer ID]],customers!$A$1:$A$1001,customers!$I$1:$I$1001,,0)</f>
        <v>No</v>
      </c>
    </row>
    <row r="797" spans="1:16" x14ac:dyDescent="0.3">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6">
        <f>INDEX(products!$A$1:$G$49,MATCH(orders!$D797,products!$A$1:$A$49,0),MATCH(orders!K$1,products!$A$1:$G$1,0))</f>
        <v>0.5</v>
      </c>
      <c r="L797" s="5">
        <f>INDEX(products!$A$1:$G$49,MATCH(orders!$D797,products!$A$1:$A$49,0),MATCH(orders!L$1,products!$A$1:$G$1,0))</f>
        <v>7.169999999999999</v>
      </c>
      <c r="M797" s="4">
        <f t="shared" si="36"/>
        <v>28.679999999999996</v>
      </c>
      <c r="N797" t="str">
        <f t="shared" si="37"/>
        <v>Robusta</v>
      </c>
      <c r="O797" t="str">
        <f t="shared" si="38"/>
        <v>Light</v>
      </c>
      <c r="P797" t="str">
        <f>_xlfn.XLOOKUP(Table1[[#This Row],[Customer ID]],customers!$A$1:$A$1001,customers!$I$1:$I$1001,,0)</f>
        <v>No</v>
      </c>
    </row>
    <row r="798" spans="1:16" x14ac:dyDescent="0.3">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6">
        <f>INDEX(products!$A$1:$G$49,MATCH(orders!$D798,products!$A$1:$A$49,0),MATCH(orders!K$1,products!$A$1:$G$1,0))</f>
        <v>0.5</v>
      </c>
      <c r="L798" s="5">
        <f>INDEX(products!$A$1:$G$49,MATCH(orders!$D798,products!$A$1:$A$49,0),MATCH(orders!L$1,products!$A$1:$G$1,0))</f>
        <v>9.51</v>
      </c>
      <c r="M798" s="4">
        <f t="shared" si="36"/>
        <v>9.51</v>
      </c>
      <c r="N798" t="str">
        <f t="shared" si="37"/>
        <v>Librica</v>
      </c>
      <c r="O798" t="str">
        <f t="shared" si="38"/>
        <v>Light</v>
      </c>
      <c r="P798" t="str">
        <f>_xlfn.XLOOKUP(Table1[[#This Row],[Customer ID]],customers!$A$1:$A$1001,customers!$I$1:$I$1001,,0)</f>
        <v>No</v>
      </c>
    </row>
    <row r="799" spans="1:16" x14ac:dyDescent="0.3">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6">
        <f>INDEX(products!$A$1:$G$49,MATCH(orders!$D799,products!$A$1:$A$49,0),MATCH(orders!K$1,products!$A$1:$G$1,0))</f>
        <v>0.5</v>
      </c>
      <c r="L799" s="5">
        <f>INDEX(products!$A$1:$G$49,MATCH(orders!$D799,products!$A$1:$A$49,0),MATCH(orders!L$1,products!$A$1:$G$1,0))</f>
        <v>7.77</v>
      </c>
      <c r="M799" s="4">
        <f t="shared" si="36"/>
        <v>31.08</v>
      </c>
      <c r="N799" t="str">
        <f t="shared" si="37"/>
        <v>Arabica</v>
      </c>
      <c r="O799" t="str">
        <f t="shared" si="38"/>
        <v>Light</v>
      </c>
      <c r="P799" t="str">
        <f>_xlfn.XLOOKUP(Table1[[#This Row],[Customer ID]],customers!$A$1:$A$1001,customers!$I$1:$I$1001,,0)</f>
        <v>No</v>
      </c>
    </row>
    <row r="800" spans="1:16" x14ac:dyDescent="0.3">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6">
        <f>INDEX(products!$A$1:$G$49,MATCH(orders!$D800,products!$A$1:$A$49,0),MATCH(orders!K$1,products!$A$1:$G$1,0))</f>
        <v>0.2</v>
      </c>
      <c r="L800" s="5">
        <f>INDEX(products!$A$1:$G$49,MATCH(orders!$D800,products!$A$1:$A$49,0),MATCH(orders!L$1,products!$A$1:$G$1,0))</f>
        <v>2.6849999999999996</v>
      </c>
      <c r="M800" s="4">
        <f t="shared" si="36"/>
        <v>8.0549999999999997</v>
      </c>
      <c r="N800" t="str">
        <f t="shared" si="37"/>
        <v>Robusta</v>
      </c>
      <c r="O800" t="str">
        <f t="shared" si="38"/>
        <v>Dark</v>
      </c>
      <c r="P800" t="str">
        <f>_xlfn.XLOOKUP(Table1[[#This Row],[Customer ID]],customers!$A$1:$A$1001,customers!$I$1:$I$1001,,0)</f>
        <v>Yes</v>
      </c>
    </row>
    <row r="801" spans="1:16" x14ac:dyDescent="0.3">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6">
        <f>INDEX(products!$A$1:$G$49,MATCH(orders!$D801,products!$A$1:$A$49,0),MATCH(orders!K$1,products!$A$1:$G$1,0))</f>
        <v>1</v>
      </c>
      <c r="L801" s="5">
        <f>INDEX(products!$A$1:$G$49,MATCH(orders!$D801,products!$A$1:$A$49,0),MATCH(orders!L$1,products!$A$1:$G$1,0))</f>
        <v>12.15</v>
      </c>
      <c r="M801" s="4">
        <f t="shared" si="36"/>
        <v>36.450000000000003</v>
      </c>
      <c r="N801" t="str">
        <f t="shared" si="37"/>
        <v>Excelsa</v>
      </c>
      <c r="O801" t="str">
        <f t="shared" si="38"/>
        <v>Dark</v>
      </c>
      <c r="P801" t="str">
        <f>_xlfn.XLOOKUP(Table1[[#This Row],[Customer ID]],customers!$A$1:$A$1001,customers!$I$1:$I$1001,,0)</f>
        <v>Yes</v>
      </c>
    </row>
    <row r="802" spans="1:16" x14ac:dyDescent="0.3">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6">
        <f>INDEX(products!$A$1:$G$49,MATCH(orders!$D802,products!$A$1:$A$49,0),MATCH(orders!K$1,products!$A$1:$G$1,0))</f>
        <v>0.2</v>
      </c>
      <c r="L802" s="5">
        <f>INDEX(products!$A$1:$G$49,MATCH(orders!$D802,products!$A$1:$A$49,0),MATCH(orders!L$1,products!$A$1:$G$1,0))</f>
        <v>2.6849999999999996</v>
      </c>
      <c r="M802" s="4">
        <f t="shared" si="36"/>
        <v>16.11</v>
      </c>
      <c r="N802" t="str">
        <f t="shared" si="37"/>
        <v>Robusta</v>
      </c>
      <c r="O802" t="str">
        <f t="shared" si="38"/>
        <v>Dark</v>
      </c>
      <c r="P802" t="str">
        <f>_xlfn.XLOOKUP(Table1[[#This Row],[Customer ID]],customers!$A$1:$A$1001,customers!$I$1:$I$1001,,0)</f>
        <v>No</v>
      </c>
    </row>
    <row r="803" spans="1:16" x14ac:dyDescent="0.3">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6">
        <f>INDEX(products!$A$1:$G$49,MATCH(orders!$D803,products!$A$1:$A$49,0),MATCH(orders!K$1,products!$A$1:$G$1,0))</f>
        <v>2.5</v>
      </c>
      <c r="L803" s="5">
        <f>INDEX(products!$A$1:$G$49,MATCH(orders!$D803,products!$A$1:$A$49,0),MATCH(orders!L$1,products!$A$1:$G$1,0))</f>
        <v>20.584999999999997</v>
      </c>
      <c r="M803" s="4">
        <f t="shared" si="36"/>
        <v>41.169999999999995</v>
      </c>
      <c r="N803" t="str">
        <f t="shared" si="37"/>
        <v>Robusta</v>
      </c>
      <c r="O803" t="str">
        <f t="shared" si="38"/>
        <v>Dark</v>
      </c>
      <c r="P803" t="str">
        <f>_xlfn.XLOOKUP(Table1[[#This Row],[Customer ID]],customers!$A$1:$A$1001,customers!$I$1:$I$1001,,0)</f>
        <v>Yes</v>
      </c>
    </row>
    <row r="804" spans="1:16" x14ac:dyDescent="0.3">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6">
        <f>INDEX(products!$A$1:$G$49,MATCH(orders!$D804,products!$A$1:$A$49,0),MATCH(orders!K$1,products!$A$1:$G$1,0))</f>
        <v>0.2</v>
      </c>
      <c r="L804" s="5">
        <f>INDEX(products!$A$1:$G$49,MATCH(orders!$D804,products!$A$1:$A$49,0),MATCH(orders!L$1,products!$A$1:$G$1,0))</f>
        <v>2.6849999999999996</v>
      </c>
      <c r="M804" s="4">
        <f t="shared" si="36"/>
        <v>10.739999999999998</v>
      </c>
      <c r="N804" t="str">
        <f t="shared" si="37"/>
        <v>Robusta</v>
      </c>
      <c r="O804" t="str">
        <f t="shared" si="38"/>
        <v>Dark</v>
      </c>
      <c r="P804" t="str">
        <f>_xlfn.XLOOKUP(Table1[[#This Row],[Customer ID]],customers!$A$1:$A$1001,customers!$I$1:$I$1001,,0)</f>
        <v>No</v>
      </c>
    </row>
    <row r="805" spans="1:16" x14ac:dyDescent="0.3">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6">
        <f>INDEX(products!$A$1:$G$49,MATCH(orders!$D805,products!$A$1:$A$49,0),MATCH(orders!K$1,products!$A$1:$G$1,0))</f>
        <v>2.5</v>
      </c>
      <c r="L805" s="5">
        <f>INDEX(products!$A$1:$G$49,MATCH(orders!$D805,products!$A$1:$A$49,0),MATCH(orders!L$1,products!$A$1:$G$1,0))</f>
        <v>31.624999999999996</v>
      </c>
      <c r="M805" s="4">
        <f t="shared" si="36"/>
        <v>126.49999999999999</v>
      </c>
      <c r="N805" t="str">
        <f t="shared" si="37"/>
        <v>Excelsa</v>
      </c>
      <c r="O805" t="str">
        <f t="shared" si="38"/>
        <v>Medium</v>
      </c>
      <c r="P805" t="str">
        <f>_xlfn.XLOOKUP(Table1[[#This Row],[Customer ID]],customers!$A$1:$A$1001,customers!$I$1:$I$1001,,0)</f>
        <v>No</v>
      </c>
    </row>
    <row r="806" spans="1:16" x14ac:dyDescent="0.3">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6">
        <f>INDEX(products!$A$1:$G$49,MATCH(orders!$D806,products!$A$1:$A$49,0),MATCH(orders!K$1,products!$A$1:$G$1,0))</f>
        <v>1</v>
      </c>
      <c r="L806" s="5">
        <f>INDEX(products!$A$1:$G$49,MATCH(orders!$D806,products!$A$1:$A$49,0),MATCH(orders!L$1,products!$A$1:$G$1,0))</f>
        <v>11.95</v>
      </c>
      <c r="M806" s="4">
        <f t="shared" si="36"/>
        <v>23.9</v>
      </c>
      <c r="N806" t="str">
        <f t="shared" si="37"/>
        <v>Robusta</v>
      </c>
      <c r="O806" t="str">
        <f t="shared" si="38"/>
        <v>Light</v>
      </c>
      <c r="P806" t="str">
        <f>_xlfn.XLOOKUP(Table1[[#This Row],[Customer ID]],customers!$A$1:$A$1001,customers!$I$1:$I$1001,,0)</f>
        <v>No</v>
      </c>
    </row>
    <row r="807" spans="1:16" x14ac:dyDescent="0.3">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6">
        <f>INDEX(products!$A$1:$G$49,MATCH(orders!$D807,products!$A$1:$A$49,0),MATCH(orders!K$1,products!$A$1:$G$1,0))</f>
        <v>0.5</v>
      </c>
      <c r="L807" s="5">
        <f>INDEX(products!$A$1:$G$49,MATCH(orders!$D807,products!$A$1:$A$49,0),MATCH(orders!L$1,products!$A$1:$G$1,0))</f>
        <v>5.97</v>
      </c>
      <c r="M807" s="4">
        <f t="shared" si="36"/>
        <v>5.97</v>
      </c>
      <c r="N807" t="str">
        <f t="shared" si="37"/>
        <v>Robusta</v>
      </c>
      <c r="O807" t="str">
        <f t="shared" si="38"/>
        <v>Medium</v>
      </c>
      <c r="P807" t="str">
        <f>_xlfn.XLOOKUP(Table1[[#This Row],[Customer ID]],customers!$A$1:$A$1001,customers!$I$1:$I$1001,,0)</f>
        <v>No</v>
      </c>
    </row>
    <row r="808" spans="1:16" x14ac:dyDescent="0.3">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6">
        <f>INDEX(products!$A$1:$G$49,MATCH(orders!$D808,products!$A$1:$A$49,0),MATCH(orders!K$1,products!$A$1:$G$1,0))</f>
        <v>0.2</v>
      </c>
      <c r="L808" s="5">
        <f>INDEX(products!$A$1:$G$49,MATCH(orders!$D808,products!$A$1:$A$49,0),MATCH(orders!L$1,products!$A$1:$G$1,0))</f>
        <v>3.8849999999999998</v>
      </c>
      <c r="M808" s="4">
        <f t="shared" si="36"/>
        <v>7.77</v>
      </c>
      <c r="N808" t="str">
        <f t="shared" si="37"/>
        <v>Librica</v>
      </c>
      <c r="O808" t="str">
        <f t="shared" si="38"/>
        <v>Dark</v>
      </c>
      <c r="P808" t="str">
        <f>_xlfn.XLOOKUP(Table1[[#This Row],[Customer ID]],customers!$A$1:$A$1001,customers!$I$1:$I$1001,,0)</f>
        <v>Yes</v>
      </c>
    </row>
    <row r="809" spans="1:16" x14ac:dyDescent="0.3">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6">
        <f>INDEX(products!$A$1:$G$49,MATCH(orders!$D809,products!$A$1:$A$49,0),MATCH(orders!K$1,products!$A$1:$G$1,0))</f>
        <v>0.5</v>
      </c>
      <c r="L809" s="5">
        <f>INDEX(products!$A$1:$G$49,MATCH(orders!$D809,products!$A$1:$A$49,0),MATCH(orders!L$1,products!$A$1:$G$1,0))</f>
        <v>7.77</v>
      </c>
      <c r="M809" s="4">
        <f t="shared" si="36"/>
        <v>23.31</v>
      </c>
      <c r="N809" t="str">
        <f t="shared" si="37"/>
        <v>Librica</v>
      </c>
      <c r="O809" t="str">
        <f t="shared" si="38"/>
        <v>Dark</v>
      </c>
      <c r="P809" t="str">
        <f>_xlfn.XLOOKUP(Table1[[#This Row],[Customer ID]],customers!$A$1:$A$1001,customers!$I$1:$I$1001,,0)</f>
        <v>No</v>
      </c>
    </row>
    <row r="810" spans="1:16" x14ac:dyDescent="0.3">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6">
        <f>INDEX(products!$A$1:$G$49,MATCH(orders!$D810,products!$A$1:$A$49,0),MATCH(orders!K$1,products!$A$1:$G$1,0))</f>
        <v>2.5</v>
      </c>
      <c r="L810" s="5">
        <f>INDEX(products!$A$1:$G$49,MATCH(orders!$D810,products!$A$1:$A$49,0),MATCH(orders!L$1,products!$A$1:$G$1,0))</f>
        <v>27.484999999999996</v>
      </c>
      <c r="M810" s="4">
        <f t="shared" si="36"/>
        <v>137.42499999999998</v>
      </c>
      <c r="N810" t="str">
        <f t="shared" si="37"/>
        <v>Robusta</v>
      </c>
      <c r="O810" t="str">
        <f t="shared" si="38"/>
        <v>Light</v>
      </c>
      <c r="P810" t="str">
        <f>_xlfn.XLOOKUP(Table1[[#This Row],[Customer ID]],customers!$A$1:$A$1001,customers!$I$1:$I$1001,,0)</f>
        <v>No</v>
      </c>
    </row>
    <row r="811" spans="1:16" x14ac:dyDescent="0.3">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6">
        <f>INDEX(products!$A$1:$G$49,MATCH(orders!$D811,products!$A$1:$A$49,0),MATCH(orders!K$1,products!$A$1:$G$1,0))</f>
        <v>0.2</v>
      </c>
      <c r="L811" s="5">
        <f>INDEX(products!$A$1:$G$49,MATCH(orders!$D811,products!$A$1:$A$49,0),MATCH(orders!L$1,products!$A$1:$G$1,0))</f>
        <v>2.6849999999999996</v>
      </c>
      <c r="M811" s="4">
        <f t="shared" si="36"/>
        <v>8.0549999999999997</v>
      </c>
      <c r="N811" t="str">
        <f t="shared" si="37"/>
        <v>Robusta</v>
      </c>
      <c r="O811" t="str">
        <f t="shared" si="38"/>
        <v>Dark</v>
      </c>
      <c r="P811" t="str">
        <f>_xlfn.XLOOKUP(Table1[[#This Row],[Customer ID]],customers!$A$1:$A$1001,customers!$I$1:$I$1001,,0)</f>
        <v>Yes</v>
      </c>
    </row>
    <row r="812" spans="1:16" x14ac:dyDescent="0.3">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6">
        <f>INDEX(products!$A$1:$G$49,MATCH(orders!$D812,products!$A$1:$A$49,0),MATCH(orders!K$1,products!$A$1:$G$1,0))</f>
        <v>0.5</v>
      </c>
      <c r="L812" s="5">
        <f>INDEX(products!$A$1:$G$49,MATCH(orders!$D812,products!$A$1:$A$49,0),MATCH(orders!L$1,products!$A$1:$G$1,0))</f>
        <v>9.51</v>
      </c>
      <c r="M812" s="4">
        <f t="shared" si="36"/>
        <v>28.53</v>
      </c>
      <c r="N812" t="str">
        <f t="shared" si="37"/>
        <v>Librica</v>
      </c>
      <c r="O812" t="str">
        <f t="shared" si="38"/>
        <v>Light</v>
      </c>
      <c r="P812" t="str">
        <f>_xlfn.XLOOKUP(Table1[[#This Row],[Customer ID]],customers!$A$1:$A$1001,customers!$I$1:$I$1001,,0)</f>
        <v>No</v>
      </c>
    </row>
    <row r="813" spans="1:16" x14ac:dyDescent="0.3">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6">
        <f>INDEX(products!$A$1:$G$49,MATCH(orders!$D813,products!$A$1:$A$49,0),MATCH(orders!K$1,products!$A$1:$G$1,0))</f>
        <v>1</v>
      </c>
      <c r="L813" s="5">
        <f>INDEX(products!$A$1:$G$49,MATCH(orders!$D813,products!$A$1:$A$49,0),MATCH(orders!L$1,products!$A$1:$G$1,0))</f>
        <v>11.25</v>
      </c>
      <c r="M813" s="4">
        <f t="shared" si="36"/>
        <v>67.5</v>
      </c>
      <c r="N813" t="str">
        <f t="shared" si="37"/>
        <v>Arabica</v>
      </c>
      <c r="O813" t="str">
        <f t="shared" si="38"/>
        <v>Medium</v>
      </c>
      <c r="P813" t="str">
        <f>_xlfn.XLOOKUP(Table1[[#This Row],[Customer ID]],customers!$A$1:$A$1001,customers!$I$1:$I$1001,,0)</f>
        <v>Yes</v>
      </c>
    </row>
    <row r="814" spans="1:16" x14ac:dyDescent="0.3">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6">
        <f>INDEX(products!$A$1:$G$49,MATCH(orders!$D814,products!$A$1:$A$49,0),MATCH(orders!K$1,products!$A$1:$G$1,0))</f>
        <v>2.5</v>
      </c>
      <c r="L814" s="5">
        <f>INDEX(products!$A$1:$G$49,MATCH(orders!$D814,products!$A$1:$A$49,0),MATCH(orders!L$1,products!$A$1:$G$1,0))</f>
        <v>29.784999999999997</v>
      </c>
      <c r="M814" s="4">
        <f t="shared" si="36"/>
        <v>178.70999999999998</v>
      </c>
      <c r="N814" t="str">
        <f t="shared" si="37"/>
        <v>Librica</v>
      </c>
      <c r="O814" t="str">
        <f t="shared" si="38"/>
        <v>Dark</v>
      </c>
      <c r="P814" t="str">
        <f>_xlfn.XLOOKUP(Table1[[#This Row],[Customer ID]],customers!$A$1:$A$1001,customers!$I$1:$I$1001,,0)</f>
        <v>Yes</v>
      </c>
    </row>
    <row r="815" spans="1:16" x14ac:dyDescent="0.3">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6">
        <f>INDEX(products!$A$1:$G$49,MATCH(orders!$D815,products!$A$1:$A$49,0),MATCH(orders!K$1,products!$A$1:$G$1,0))</f>
        <v>2.5</v>
      </c>
      <c r="L815" s="5">
        <f>INDEX(products!$A$1:$G$49,MATCH(orders!$D815,products!$A$1:$A$49,0),MATCH(orders!L$1,products!$A$1:$G$1,0))</f>
        <v>31.624999999999996</v>
      </c>
      <c r="M815" s="4">
        <f t="shared" si="36"/>
        <v>31.624999999999996</v>
      </c>
      <c r="N815" t="str">
        <f t="shared" si="37"/>
        <v>Excelsa</v>
      </c>
      <c r="O815" t="str">
        <f t="shared" si="38"/>
        <v>Medium</v>
      </c>
      <c r="P815" t="str">
        <f>_xlfn.XLOOKUP(Table1[[#This Row],[Customer ID]],customers!$A$1:$A$1001,customers!$I$1:$I$1001,,0)</f>
        <v>Yes</v>
      </c>
    </row>
    <row r="816" spans="1:16" x14ac:dyDescent="0.3">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6">
        <f>INDEX(products!$A$1:$G$49,MATCH(orders!$D816,products!$A$1:$A$49,0),MATCH(orders!K$1,products!$A$1:$G$1,0))</f>
        <v>0.2</v>
      </c>
      <c r="L816" s="5">
        <f>INDEX(products!$A$1:$G$49,MATCH(orders!$D816,products!$A$1:$A$49,0),MATCH(orders!L$1,products!$A$1:$G$1,0))</f>
        <v>4.4550000000000001</v>
      </c>
      <c r="M816" s="4">
        <f t="shared" si="36"/>
        <v>8.91</v>
      </c>
      <c r="N816" t="str">
        <f t="shared" si="37"/>
        <v>Excelsa</v>
      </c>
      <c r="O816" t="str">
        <f t="shared" si="38"/>
        <v>Light</v>
      </c>
      <c r="P816" t="str">
        <f>_xlfn.XLOOKUP(Table1[[#This Row],[Customer ID]],customers!$A$1:$A$1001,customers!$I$1:$I$1001,,0)</f>
        <v>No</v>
      </c>
    </row>
    <row r="817" spans="1:16" x14ac:dyDescent="0.3">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6">
        <f>INDEX(products!$A$1:$G$49,MATCH(orders!$D817,products!$A$1:$A$49,0),MATCH(orders!K$1,products!$A$1:$G$1,0))</f>
        <v>0.5</v>
      </c>
      <c r="L817" s="5">
        <f>INDEX(products!$A$1:$G$49,MATCH(orders!$D817,products!$A$1:$A$49,0),MATCH(orders!L$1,products!$A$1:$G$1,0))</f>
        <v>5.97</v>
      </c>
      <c r="M817" s="4">
        <f t="shared" si="36"/>
        <v>35.82</v>
      </c>
      <c r="N817" t="str">
        <f t="shared" si="37"/>
        <v>Robusta</v>
      </c>
      <c r="O817" t="str">
        <f t="shared" si="38"/>
        <v>Medium</v>
      </c>
      <c r="P817" t="str">
        <f>_xlfn.XLOOKUP(Table1[[#This Row],[Customer ID]],customers!$A$1:$A$1001,customers!$I$1:$I$1001,,0)</f>
        <v>No</v>
      </c>
    </row>
    <row r="818" spans="1:16" x14ac:dyDescent="0.3">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6">
        <f>INDEX(products!$A$1:$G$49,MATCH(orders!$D818,products!$A$1:$A$49,0),MATCH(orders!K$1,products!$A$1:$G$1,0))</f>
        <v>0.5</v>
      </c>
      <c r="L818" s="5">
        <f>INDEX(products!$A$1:$G$49,MATCH(orders!$D818,products!$A$1:$A$49,0),MATCH(orders!L$1,products!$A$1:$G$1,0))</f>
        <v>9.51</v>
      </c>
      <c r="M818" s="4">
        <f t="shared" si="36"/>
        <v>38.04</v>
      </c>
      <c r="N818" t="str">
        <f t="shared" si="37"/>
        <v>Librica</v>
      </c>
      <c r="O818" t="str">
        <f t="shared" si="38"/>
        <v>Light</v>
      </c>
      <c r="P818" t="str">
        <f>_xlfn.XLOOKUP(Table1[[#This Row],[Customer ID]],customers!$A$1:$A$1001,customers!$I$1:$I$1001,,0)</f>
        <v>No</v>
      </c>
    </row>
    <row r="819" spans="1:16" x14ac:dyDescent="0.3">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6">
        <f>INDEX(products!$A$1:$G$49,MATCH(orders!$D819,products!$A$1:$A$49,0),MATCH(orders!K$1,products!$A$1:$G$1,0))</f>
        <v>0.5</v>
      </c>
      <c r="L819" s="5">
        <f>INDEX(products!$A$1:$G$49,MATCH(orders!$D819,products!$A$1:$A$49,0),MATCH(orders!L$1,products!$A$1:$G$1,0))</f>
        <v>7.77</v>
      </c>
      <c r="M819" s="4">
        <f t="shared" si="36"/>
        <v>15.54</v>
      </c>
      <c r="N819" t="str">
        <f t="shared" si="37"/>
        <v>Librica</v>
      </c>
      <c r="O819" t="str">
        <f t="shared" si="38"/>
        <v>Dark</v>
      </c>
      <c r="P819" t="str">
        <f>_xlfn.XLOOKUP(Table1[[#This Row],[Customer ID]],customers!$A$1:$A$1001,customers!$I$1:$I$1001,,0)</f>
        <v>No</v>
      </c>
    </row>
    <row r="820" spans="1:16" x14ac:dyDescent="0.3">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6">
        <f>INDEX(products!$A$1:$G$49,MATCH(orders!$D820,products!$A$1:$A$49,0),MATCH(orders!K$1,products!$A$1:$G$1,0))</f>
        <v>1</v>
      </c>
      <c r="L820" s="5">
        <f>INDEX(products!$A$1:$G$49,MATCH(orders!$D820,products!$A$1:$A$49,0),MATCH(orders!L$1,products!$A$1:$G$1,0))</f>
        <v>15.85</v>
      </c>
      <c r="M820" s="4">
        <f t="shared" si="36"/>
        <v>79.25</v>
      </c>
      <c r="N820" t="str">
        <f t="shared" si="37"/>
        <v>Librica</v>
      </c>
      <c r="O820" t="str">
        <f t="shared" si="38"/>
        <v>Light</v>
      </c>
      <c r="P820" t="str">
        <f>_xlfn.XLOOKUP(Table1[[#This Row],[Customer ID]],customers!$A$1:$A$1001,customers!$I$1:$I$1001,,0)</f>
        <v>No</v>
      </c>
    </row>
    <row r="821" spans="1:16" x14ac:dyDescent="0.3">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6">
        <f>INDEX(products!$A$1:$G$49,MATCH(orders!$D821,products!$A$1:$A$49,0),MATCH(orders!K$1,products!$A$1:$G$1,0))</f>
        <v>0.2</v>
      </c>
      <c r="L821" s="5">
        <f>INDEX(products!$A$1:$G$49,MATCH(orders!$D821,products!$A$1:$A$49,0),MATCH(orders!L$1,products!$A$1:$G$1,0))</f>
        <v>4.7549999999999999</v>
      </c>
      <c r="M821" s="4">
        <f t="shared" si="36"/>
        <v>4.7549999999999999</v>
      </c>
      <c r="N821" t="str">
        <f t="shared" si="37"/>
        <v>Librica</v>
      </c>
      <c r="O821" t="str">
        <f t="shared" si="38"/>
        <v>Light</v>
      </c>
      <c r="P821" t="str">
        <f>_xlfn.XLOOKUP(Table1[[#This Row],[Customer ID]],customers!$A$1:$A$1001,customers!$I$1:$I$1001,,0)</f>
        <v>Yes</v>
      </c>
    </row>
    <row r="822" spans="1:16" x14ac:dyDescent="0.3">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6">
        <f>INDEX(products!$A$1:$G$49,MATCH(orders!$D822,products!$A$1:$A$49,0),MATCH(orders!K$1,products!$A$1:$G$1,0))</f>
        <v>1</v>
      </c>
      <c r="L822" s="5">
        <f>INDEX(products!$A$1:$G$49,MATCH(orders!$D822,products!$A$1:$A$49,0),MATCH(orders!L$1,products!$A$1:$G$1,0))</f>
        <v>13.75</v>
      </c>
      <c r="M822" s="4">
        <f t="shared" si="36"/>
        <v>55</v>
      </c>
      <c r="N822" t="str">
        <f t="shared" si="37"/>
        <v>Excelsa</v>
      </c>
      <c r="O822" t="str">
        <f t="shared" si="38"/>
        <v>Medium</v>
      </c>
      <c r="P822" t="str">
        <f>_xlfn.XLOOKUP(Table1[[#This Row],[Customer ID]],customers!$A$1:$A$1001,customers!$I$1:$I$1001,,0)</f>
        <v>Yes</v>
      </c>
    </row>
    <row r="823" spans="1:16" x14ac:dyDescent="0.3">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6">
        <f>INDEX(products!$A$1:$G$49,MATCH(orders!$D823,products!$A$1:$A$49,0),MATCH(orders!K$1,products!$A$1:$G$1,0))</f>
        <v>0.5</v>
      </c>
      <c r="L823" s="5">
        <f>INDEX(products!$A$1:$G$49,MATCH(orders!$D823,products!$A$1:$A$49,0),MATCH(orders!L$1,products!$A$1:$G$1,0))</f>
        <v>5.3699999999999992</v>
      </c>
      <c r="M823" s="4">
        <f t="shared" si="36"/>
        <v>26.849999999999994</v>
      </c>
      <c r="N823" t="str">
        <f t="shared" si="37"/>
        <v>Robusta</v>
      </c>
      <c r="O823" t="str">
        <f t="shared" si="38"/>
        <v>Dark</v>
      </c>
      <c r="P823" t="str">
        <f>_xlfn.XLOOKUP(Table1[[#This Row],[Customer ID]],customers!$A$1:$A$1001,customers!$I$1:$I$1001,,0)</f>
        <v>No</v>
      </c>
    </row>
    <row r="824" spans="1:16" x14ac:dyDescent="0.3">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6">
        <f>INDEX(products!$A$1:$G$49,MATCH(orders!$D824,products!$A$1:$A$49,0),MATCH(orders!K$1,products!$A$1:$G$1,0))</f>
        <v>2.5</v>
      </c>
      <c r="L824" s="5">
        <f>INDEX(products!$A$1:$G$49,MATCH(orders!$D824,products!$A$1:$A$49,0),MATCH(orders!L$1,products!$A$1:$G$1,0))</f>
        <v>34.154999999999994</v>
      </c>
      <c r="M824" s="4">
        <f t="shared" si="36"/>
        <v>136.61999999999998</v>
      </c>
      <c r="N824" t="str">
        <f t="shared" si="37"/>
        <v>Excelsa</v>
      </c>
      <c r="O824" t="str">
        <f t="shared" si="38"/>
        <v>Light</v>
      </c>
      <c r="P824" t="str">
        <f>_xlfn.XLOOKUP(Table1[[#This Row],[Customer ID]],customers!$A$1:$A$1001,customers!$I$1:$I$1001,,0)</f>
        <v>No</v>
      </c>
    </row>
    <row r="825" spans="1:16" x14ac:dyDescent="0.3">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6">
        <f>INDEX(products!$A$1:$G$49,MATCH(orders!$D825,products!$A$1:$A$49,0),MATCH(orders!K$1,products!$A$1:$G$1,0))</f>
        <v>1</v>
      </c>
      <c r="L825" s="5">
        <f>INDEX(products!$A$1:$G$49,MATCH(orders!$D825,products!$A$1:$A$49,0),MATCH(orders!L$1,products!$A$1:$G$1,0))</f>
        <v>15.85</v>
      </c>
      <c r="M825" s="4">
        <f t="shared" si="36"/>
        <v>47.55</v>
      </c>
      <c r="N825" t="str">
        <f t="shared" si="37"/>
        <v>Librica</v>
      </c>
      <c r="O825" t="str">
        <f t="shared" si="38"/>
        <v>Light</v>
      </c>
      <c r="P825" t="str">
        <f>_xlfn.XLOOKUP(Table1[[#This Row],[Customer ID]],customers!$A$1:$A$1001,customers!$I$1:$I$1001,,0)</f>
        <v>Yes</v>
      </c>
    </row>
    <row r="826" spans="1:16" x14ac:dyDescent="0.3">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6">
        <f>INDEX(products!$A$1:$G$49,MATCH(orders!$D826,products!$A$1:$A$49,0),MATCH(orders!K$1,products!$A$1:$G$1,0))</f>
        <v>0.2</v>
      </c>
      <c r="L826" s="5">
        <f>INDEX(products!$A$1:$G$49,MATCH(orders!$D826,products!$A$1:$A$49,0),MATCH(orders!L$1,products!$A$1:$G$1,0))</f>
        <v>3.375</v>
      </c>
      <c r="M826" s="4">
        <f t="shared" si="36"/>
        <v>16.875</v>
      </c>
      <c r="N826" t="str">
        <f t="shared" si="37"/>
        <v>Arabica</v>
      </c>
      <c r="O826" t="str">
        <f t="shared" si="38"/>
        <v>Medium</v>
      </c>
      <c r="P826" t="str">
        <f>_xlfn.XLOOKUP(Table1[[#This Row],[Customer ID]],customers!$A$1:$A$1001,customers!$I$1:$I$1001,,0)</f>
        <v>Yes</v>
      </c>
    </row>
    <row r="827" spans="1:16" x14ac:dyDescent="0.3">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6">
        <f>INDEX(products!$A$1:$G$49,MATCH(orders!$D827,products!$A$1:$A$49,0),MATCH(orders!K$1,products!$A$1:$G$1,0))</f>
        <v>1</v>
      </c>
      <c r="L827" s="5">
        <f>INDEX(products!$A$1:$G$49,MATCH(orders!$D827,products!$A$1:$A$49,0),MATCH(orders!L$1,products!$A$1:$G$1,0))</f>
        <v>9.9499999999999993</v>
      </c>
      <c r="M827" s="4">
        <f t="shared" si="36"/>
        <v>29.849999999999998</v>
      </c>
      <c r="N827" t="str">
        <f t="shared" si="37"/>
        <v>Arabica</v>
      </c>
      <c r="O827" t="str">
        <f t="shared" si="38"/>
        <v>Dark</v>
      </c>
      <c r="P827" t="str">
        <f>_xlfn.XLOOKUP(Table1[[#This Row],[Customer ID]],customers!$A$1:$A$1001,customers!$I$1:$I$1001,,0)</f>
        <v>Yes</v>
      </c>
    </row>
    <row r="828" spans="1:16" x14ac:dyDescent="0.3">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6">
        <f>INDEX(products!$A$1:$G$49,MATCH(orders!$D828,products!$A$1:$A$49,0),MATCH(orders!K$1,products!$A$1:$G$1,0))</f>
        <v>0.5</v>
      </c>
      <c r="L828" s="5">
        <f>INDEX(products!$A$1:$G$49,MATCH(orders!$D828,products!$A$1:$A$49,0),MATCH(orders!L$1,products!$A$1:$G$1,0))</f>
        <v>8.25</v>
      </c>
      <c r="M828" s="4">
        <f t="shared" si="36"/>
        <v>41.25</v>
      </c>
      <c r="N828" t="str">
        <f t="shared" si="37"/>
        <v>Excelsa</v>
      </c>
      <c r="O828" t="str">
        <f t="shared" si="38"/>
        <v>Medium</v>
      </c>
      <c r="P828" t="str">
        <f>_xlfn.XLOOKUP(Table1[[#This Row],[Customer ID]],customers!$A$1:$A$1001,customers!$I$1:$I$1001,,0)</f>
        <v>Yes</v>
      </c>
    </row>
    <row r="829" spans="1:16" x14ac:dyDescent="0.3">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6">
        <f>INDEX(products!$A$1:$G$49,MATCH(orders!$D829,products!$A$1:$A$49,0),MATCH(orders!K$1,products!$A$1:$G$1,0))</f>
        <v>0.2</v>
      </c>
      <c r="L829" s="5">
        <f>INDEX(products!$A$1:$G$49,MATCH(orders!$D829,products!$A$1:$A$49,0),MATCH(orders!L$1,products!$A$1:$G$1,0))</f>
        <v>4.125</v>
      </c>
      <c r="M829" s="4">
        <f t="shared" si="36"/>
        <v>20.625</v>
      </c>
      <c r="N829" t="str">
        <f t="shared" si="37"/>
        <v>Excelsa</v>
      </c>
      <c r="O829" t="str">
        <f t="shared" si="38"/>
        <v>Medium</v>
      </c>
      <c r="P829" t="str">
        <f>_xlfn.XLOOKUP(Table1[[#This Row],[Customer ID]],customers!$A$1:$A$1001,customers!$I$1:$I$1001,,0)</f>
        <v>No</v>
      </c>
    </row>
    <row r="830" spans="1:16" x14ac:dyDescent="0.3">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6">
        <f>INDEX(products!$A$1:$G$49,MATCH(orders!$D830,products!$A$1:$A$49,0),MATCH(orders!K$1,products!$A$1:$G$1,0))</f>
        <v>2.5</v>
      </c>
      <c r="L830" s="5">
        <f>INDEX(products!$A$1:$G$49,MATCH(orders!$D830,products!$A$1:$A$49,0),MATCH(orders!L$1,products!$A$1:$G$1,0))</f>
        <v>22.884999999999998</v>
      </c>
      <c r="M830" s="4">
        <f t="shared" si="36"/>
        <v>137.31</v>
      </c>
      <c r="N830" t="str">
        <f t="shared" si="37"/>
        <v>Arabica</v>
      </c>
      <c r="O830" t="str">
        <f t="shared" si="38"/>
        <v>Dark</v>
      </c>
      <c r="P830" t="str">
        <f>_xlfn.XLOOKUP(Table1[[#This Row],[Customer ID]],customers!$A$1:$A$1001,customers!$I$1:$I$1001,,0)</f>
        <v>Yes</v>
      </c>
    </row>
    <row r="831" spans="1:16" x14ac:dyDescent="0.3">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6">
        <f>INDEX(products!$A$1:$G$49,MATCH(orders!$D831,products!$A$1:$A$49,0),MATCH(orders!K$1,products!$A$1:$G$1,0))</f>
        <v>0.2</v>
      </c>
      <c r="L831" s="5">
        <f>INDEX(products!$A$1:$G$49,MATCH(orders!$D831,products!$A$1:$A$49,0),MATCH(orders!L$1,products!$A$1:$G$1,0))</f>
        <v>2.9849999999999999</v>
      </c>
      <c r="M831" s="4">
        <f t="shared" si="36"/>
        <v>2.9849999999999999</v>
      </c>
      <c r="N831" t="str">
        <f t="shared" si="37"/>
        <v>Arabica</v>
      </c>
      <c r="O831" t="str">
        <f t="shared" si="38"/>
        <v>Dark</v>
      </c>
      <c r="P831" t="str">
        <f>_xlfn.XLOOKUP(Table1[[#This Row],[Customer ID]],customers!$A$1:$A$1001,customers!$I$1:$I$1001,,0)</f>
        <v>No</v>
      </c>
    </row>
    <row r="832" spans="1:16" x14ac:dyDescent="0.3">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6">
        <f>INDEX(products!$A$1:$G$49,MATCH(orders!$D832,products!$A$1:$A$49,0),MATCH(orders!K$1,products!$A$1:$G$1,0))</f>
        <v>1</v>
      </c>
      <c r="L832" s="5">
        <f>INDEX(products!$A$1:$G$49,MATCH(orders!$D832,products!$A$1:$A$49,0),MATCH(orders!L$1,products!$A$1:$G$1,0))</f>
        <v>13.75</v>
      </c>
      <c r="M832" s="4">
        <f t="shared" si="36"/>
        <v>27.5</v>
      </c>
      <c r="N832" t="str">
        <f t="shared" si="37"/>
        <v>Excelsa</v>
      </c>
      <c r="O832" t="str">
        <f t="shared" si="38"/>
        <v>Medium</v>
      </c>
      <c r="P832" t="str">
        <f>_xlfn.XLOOKUP(Table1[[#This Row],[Customer ID]],customers!$A$1:$A$1001,customers!$I$1:$I$1001,,0)</f>
        <v>No</v>
      </c>
    </row>
    <row r="833" spans="1:16" x14ac:dyDescent="0.3">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6">
        <f>INDEX(products!$A$1:$G$49,MATCH(orders!$D833,products!$A$1:$A$49,0),MATCH(orders!K$1,products!$A$1:$G$1,0))</f>
        <v>0.2</v>
      </c>
      <c r="L833" s="5">
        <f>INDEX(products!$A$1:$G$49,MATCH(orders!$D833,products!$A$1:$A$49,0),MATCH(orders!L$1,products!$A$1:$G$1,0))</f>
        <v>2.9849999999999999</v>
      </c>
      <c r="M833" s="4">
        <f t="shared" si="36"/>
        <v>5.97</v>
      </c>
      <c r="N833" t="str">
        <f t="shared" si="37"/>
        <v>Arabica</v>
      </c>
      <c r="O833" t="str">
        <f t="shared" si="38"/>
        <v>Dark</v>
      </c>
      <c r="P833" t="str">
        <f>_xlfn.XLOOKUP(Table1[[#This Row],[Customer ID]],customers!$A$1:$A$1001,customers!$I$1:$I$1001,,0)</f>
        <v>No</v>
      </c>
    </row>
    <row r="834" spans="1:16" x14ac:dyDescent="0.3">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6">
        <f>INDEX(products!$A$1:$G$49,MATCH(orders!$D834,products!$A$1:$A$49,0),MATCH(orders!K$1,products!$A$1:$G$1,0))</f>
        <v>1</v>
      </c>
      <c r="L834" s="5">
        <f>INDEX(products!$A$1:$G$49,MATCH(orders!$D834,products!$A$1:$A$49,0),MATCH(orders!L$1,products!$A$1:$G$1,0))</f>
        <v>9.9499999999999993</v>
      </c>
      <c r="M834" s="4">
        <f t="shared" si="36"/>
        <v>59.699999999999996</v>
      </c>
      <c r="N834" t="str">
        <f t="shared" si="37"/>
        <v>Robusta</v>
      </c>
      <c r="O834" t="str">
        <f t="shared" si="38"/>
        <v>Medium</v>
      </c>
      <c r="P834" t="str">
        <f>_xlfn.XLOOKUP(Table1[[#This Row],[Customer ID]],customers!$A$1:$A$1001,customers!$I$1:$I$1001,,0)</f>
        <v>No</v>
      </c>
    </row>
    <row r="835" spans="1:16" x14ac:dyDescent="0.3">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6">
        <f>INDEX(products!$A$1:$G$49,MATCH(orders!$D835,products!$A$1:$A$49,0),MATCH(orders!K$1,products!$A$1:$G$1,0))</f>
        <v>2.5</v>
      </c>
      <c r="L835" s="5">
        <f>INDEX(products!$A$1:$G$49,MATCH(orders!$D835,products!$A$1:$A$49,0),MATCH(orders!L$1,products!$A$1:$G$1,0))</f>
        <v>20.584999999999997</v>
      </c>
      <c r="M835" s="4">
        <f t="shared" ref="M835:M898" si="39">L835*E835</f>
        <v>82.339999999999989</v>
      </c>
      <c r="N835" t="str">
        <f t="shared" ref="N835:N898" si="40">IF(I835="Rob","Robusta",IF(I835="Exc","Excelsa",IF(I835="Ara","Arabica",IF(I835="Lib","Librica",""))))</f>
        <v>Robusta</v>
      </c>
      <c r="O835" t="str">
        <f t="shared" ref="O835:O898" si="41">IF(J835="M","Medium",IF(J835="L","Light",IF(J835="D","Dark","")))</f>
        <v>Dark</v>
      </c>
      <c r="P835" t="str">
        <f>_xlfn.XLOOKUP(Table1[[#This Row],[Customer ID]],customers!$A$1:$A$1001,customers!$I$1:$I$1001,,0)</f>
        <v>Yes</v>
      </c>
    </row>
    <row r="836" spans="1:16" x14ac:dyDescent="0.3">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6">
        <f>INDEX(products!$A$1:$G$49,MATCH(orders!$D836,products!$A$1:$A$49,0),MATCH(orders!K$1,products!$A$1:$G$1,0))</f>
        <v>2.5</v>
      </c>
      <c r="L836" s="5">
        <f>INDEX(products!$A$1:$G$49,MATCH(orders!$D836,products!$A$1:$A$49,0),MATCH(orders!L$1,products!$A$1:$G$1,0))</f>
        <v>22.884999999999998</v>
      </c>
      <c r="M836" s="4">
        <f t="shared" si="39"/>
        <v>22.884999999999998</v>
      </c>
      <c r="N836" t="str">
        <f t="shared" si="40"/>
        <v>Arabica</v>
      </c>
      <c r="O836" t="str">
        <f t="shared" si="41"/>
        <v>Dark</v>
      </c>
      <c r="P836" t="str">
        <f>_xlfn.XLOOKUP(Table1[[#This Row],[Customer ID]],customers!$A$1:$A$1001,customers!$I$1:$I$1001,,0)</f>
        <v>No</v>
      </c>
    </row>
    <row r="837" spans="1:16" x14ac:dyDescent="0.3">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6">
        <f>INDEX(products!$A$1:$G$49,MATCH(orders!$D837,products!$A$1:$A$49,0),MATCH(orders!K$1,products!$A$1:$G$1,0))</f>
        <v>0.5</v>
      </c>
      <c r="L837" s="5">
        <f>INDEX(products!$A$1:$G$49,MATCH(orders!$D837,products!$A$1:$A$49,0),MATCH(orders!L$1,products!$A$1:$G$1,0))</f>
        <v>8.91</v>
      </c>
      <c r="M837" s="4">
        <f t="shared" si="39"/>
        <v>8.91</v>
      </c>
      <c r="N837" t="str">
        <f t="shared" si="40"/>
        <v>Excelsa</v>
      </c>
      <c r="O837" t="str">
        <f t="shared" si="41"/>
        <v>Light</v>
      </c>
      <c r="P837" t="str">
        <f>_xlfn.XLOOKUP(Table1[[#This Row],[Customer ID]],customers!$A$1:$A$1001,customers!$I$1:$I$1001,,0)</f>
        <v>Yes</v>
      </c>
    </row>
    <row r="838" spans="1:16" x14ac:dyDescent="0.3">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6">
        <f>INDEX(products!$A$1:$G$49,MATCH(orders!$D838,products!$A$1:$A$49,0),MATCH(orders!K$1,products!$A$1:$G$1,0))</f>
        <v>0.2</v>
      </c>
      <c r="L838" s="5">
        <f>INDEX(products!$A$1:$G$49,MATCH(orders!$D838,products!$A$1:$A$49,0),MATCH(orders!L$1,products!$A$1:$G$1,0))</f>
        <v>2.9849999999999999</v>
      </c>
      <c r="M838" s="4">
        <f t="shared" si="39"/>
        <v>11.94</v>
      </c>
      <c r="N838" t="str">
        <f t="shared" si="40"/>
        <v>Arabica</v>
      </c>
      <c r="O838" t="str">
        <f t="shared" si="41"/>
        <v>Dark</v>
      </c>
      <c r="P838" t="str">
        <f>_xlfn.XLOOKUP(Table1[[#This Row],[Customer ID]],customers!$A$1:$A$1001,customers!$I$1:$I$1001,,0)</f>
        <v>No</v>
      </c>
    </row>
    <row r="839" spans="1:16" x14ac:dyDescent="0.3">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6">
        <f>INDEX(products!$A$1:$G$49,MATCH(orders!$D839,products!$A$1:$A$49,0),MATCH(orders!K$1,products!$A$1:$G$1,0))</f>
        <v>2.5</v>
      </c>
      <c r="L839" s="5">
        <f>INDEX(products!$A$1:$G$49,MATCH(orders!$D839,products!$A$1:$A$49,0),MATCH(orders!L$1,products!$A$1:$G$1,0))</f>
        <v>33.464999999999996</v>
      </c>
      <c r="M839" s="4">
        <f t="shared" si="39"/>
        <v>100.39499999999998</v>
      </c>
      <c r="N839" t="str">
        <f t="shared" si="40"/>
        <v>Librica</v>
      </c>
      <c r="O839" t="str">
        <f t="shared" si="41"/>
        <v>Medium</v>
      </c>
      <c r="P839" t="str">
        <f>_xlfn.XLOOKUP(Table1[[#This Row],[Customer ID]],customers!$A$1:$A$1001,customers!$I$1:$I$1001,,0)</f>
        <v>No</v>
      </c>
    </row>
    <row r="840" spans="1:16" x14ac:dyDescent="0.3">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6">
        <f>INDEX(products!$A$1:$G$49,MATCH(orders!$D840,products!$A$1:$A$49,0),MATCH(orders!K$1,products!$A$1:$G$1,0))</f>
        <v>2.5</v>
      </c>
      <c r="L840" s="5">
        <f>INDEX(products!$A$1:$G$49,MATCH(orders!$D840,products!$A$1:$A$49,0),MATCH(orders!L$1,products!$A$1:$G$1,0))</f>
        <v>22.884999999999998</v>
      </c>
      <c r="M840" s="4">
        <f t="shared" si="39"/>
        <v>114.42499999999998</v>
      </c>
      <c r="N840" t="str">
        <f t="shared" si="40"/>
        <v>Arabica</v>
      </c>
      <c r="O840" t="str">
        <f t="shared" si="41"/>
        <v>Dark</v>
      </c>
      <c r="P840" t="str">
        <f>_xlfn.XLOOKUP(Table1[[#This Row],[Customer ID]],customers!$A$1:$A$1001,customers!$I$1:$I$1001,,0)</f>
        <v>No</v>
      </c>
    </row>
    <row r="841" spans="1:16" x14ac:dyDescent="0.3">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6">
        <f>INDEX(products!$A$1:$G$49,MATCH(orders!$D841,products!$A$1:$A$49,0),MATCH(orders!K$1,products!$A$1:$G$1,0))</f>
        <v>0.5</v>
      </c>
      <c r="L841" s="5">
        <f>INDEX(products!$A$1:$G$49,MATCH(orders!$D841,products!$A$1:$A$49,0),MATCH(orders!L$1,products!$A$1:$G$1,0))</f>
        <v>8.25</v>
      </c>
      <c r="M841" s="4">
        <f t="shared" si="39"/>
        <v>41.25</v>
      </c>
      <c r="N841" t="str">
        <f t="shared" si="40"/>
        <v>Excelsa</v>
      </c>
      <c r="O841" t="str">
        <f t="shared" si="41"/>
        <v>Medium</v>
      </c>
      <c r="P841" t="str">
        <f>_xlfn.XLOOKUP(Table1[[#This Row],[Customer ID]],customers!$A$1:$A$1001,customers!$I$1:$I$1001,,0)</f>
        <v>No</v>
      </c>
    </row>
    <row r="842" spans="1:16" x14ac:dyDescent="0.3">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6">
        <f>INDEX(products!$A$1:$G$49,MATCH(orders!$D842,products!$A$1:$A$49,0),MATCH(orders!K$1,products!$A$1:$G$1,0))</f>
        <v>0.5</v>
      </c>
      <c r="L842" s="5">
        <f>INDEX(products!$A$1:$G$49,MATCH(orders!$D842,products!$A$1:$A$49,0),MATCH(orders!L$1,products!$A$1:$G$1,0))</f>
        <v>7.169999999999999</v>
      </c>
      <c r="M842" s="4">
        <f t="shared" si="39"/>
        <v>28.679999999999996</v>
      </c>
      <c r="N842" t="str">
        <f t="shared" si="40"/>
        <v>Robusta</v>
      </c>
      <c r="O842" t="str">
        <f t="shared" si="41"/>
        <v>Light</v>
      </c>
      <c r="P842" t="str">
        <f>_xlfn.XLOOKUP(Table1[[#This Row],[Customer ID]],customers!$A$1:$A$1001,customers!$I$1:$I$1001,,0)</f>
        <v>Yes</v>
      </c>
    </row>
    <row r="843" spans="1:16" x14ac:dyDescent="0.3">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6">
        <f>INDEX(products!$A$1:$G$49,MATCH(orders!$D843,products!$A$1:$A$49,0),MATCH(orders!K$1,products!$A$1:$G$1,0))</f>
        <v>0.2</v>
      </c>
      <c r="L843" s="5">
        <f>INDEX(products!$A$1:$G$49,MATCH(orders!$D843,products!$A$1:$A$49,0),MATCH(orders!L$1,products!$A$1:$G$1,0))</f>
        <v>4.3650000000000002</v>
      </c>
      <c r="M843" s="4">
        <f t="shared" si="39"/>
        <v>4.3650000000000002</v>
      </c>
      <c r="N843" t="str">
        <f t="shared" si="40"/>
        <v>Librica</v>
      </c>
      <c r="O843" t="str">
        <f t="shared" si="41"/>
        <v>Medium</v>
      </c>
      <c r="P843" t="str">
        <f>_xlfn.XLOOKUP(Table1[[#This Row],[Customer ID]],customers!$A$1:$A$1001,customers!$I$1:$I$1001,,0)</f>
        <v>No</v>
      </c>
    </row>
    <row r="844" spans="1:16" x14ac:dyDescent="0.3">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6">
        <f>INDEX(products!$A$1:$G$49,MATCH(orders!$D844,products!$A$1:$A$49,0),MATCH(orders!K$1,products!$A$1:$G$1,0))</f>
        <v>0.2</v>
      </c>
      <c r="L844" s="5">
        <f>INDEX(products!$A$1:$G$49,MATCH(orders!$D844,products!$A$1:$A$49,0),MATCH(orders!L$1,products!$A$1:$G$1,0))</f>
        <v>4.125</v>
      </c>
      <c r="M844" s="4">
        <f t="shared" si="39"/>
        <v>8.25</v>
      </c>
      <c r="N844" t="str">
        <f t="shared" si="40"/>
        <v>Excelsa</v>
      </c>
      <c r="O844" t="str">
        <f t="shared" si="41"/>
        <v>Medium</v>
      </c>
      <c r="P844" t="str">
        <f>_xlfn.XLOOKUP(Table1[[#This Row],[Customer ID]],customers!$A$1:$A$1001,customers!$I$1:$I$1001,,0)</f>
        <v>Yes</v>
      </c>
    </row>
    <row r="845" spans="1:16" x14ac:dyDescent="0.3">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6">
        <f>INDEX(products!$A$1:$G$49,MATCH(orders!$D845,products!$A$1:$A$49,0),MATCH(orders!K$1,products!$A$1:$G$1,0))</f>
        <v>0.2</v>
      </c>
      <c r="L845" s="5">
        <f>INDEX(products!$A$1:$G$49,MATCH(orders!$D845,products!$A$1:$A$49,0),MATCH(orders!L$1,products!$A$1:$G$1,0))</f>
        <v>4.125</v>
      </c>
      <c r="M845" s="4">
        <f t="shared" si="39"/>
        <v>8.25</v>
      </c>
      <c r="N845" t="str">
        <f t="shared" si="40"/>
        <v>Excelsa</v>
      </c>
      <c r="O845" t="str">
        <f t="shared" si="41"/>
        <v>Medium</v>
      </c>
      <c r="P845" t="str">
        <f>_xlfn.XLOOKUP(Table1[[#This Row],[Customer ID]],customers!$A$1:$A$1001,customers!$I$1:$I$1001,,0)</f>
        <v>Yes</v>
      </c>
    </row>
    <row r="846" spans="1:16" x14ac:dyDescent="0.3">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6">
        <f>INDEX(products!$A$1:$G$49,MATCH(orders!$D846,products!$A$1:$A$49,0),MATCH(orders!K$1,products!$A$1:$G$1,0))</f>
        <v>0.5</v>
      </c>
      <c r="L846" s="5">
        <f>INDEX(products!$A$1:$G$49,MATCH(orders!$D846,products!$A$1:$A$49,0),MATCH(orders!L$1,products!$A$1:$G$1,0))</f>
        <v>5.97</v>
      </c>
      <c r="M846" s="4">
        <f t="shared" si="39"/>
        <v>35.82</v>
      </c>
      <c r="N846" t="str">
        <f t="shared" si="40"/>
        <v>Arabica</v>
      </c>
      <c r="O846" t="str">
        <f t="shared" si="41"/>
        <v>Dark</v>
      </c>
      <c r="P846" t="str">
        <f>_xlfn.XLOOKUP(Table1[[#This Row],[Customer ID]],customers!$A$1:$A$1001,customers!$I$1:$I$1001,,0)</f>
        <v>Yes</v>
      </c>
    </row>
    <row r="847" spans="1:16" x14ac:dyDescent="0.3">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6">
        <f>INDEX(products!$A$1:$G$49,MATCH(orders!$D847,products!$A$1:$A$49,0),MATCH(orders!K$1,products!$A$1:$G$1,0))</f>
        <v>2.5</v>
      </c>
      <c r="L847" s="5">
        <f>INDEX(products!$A$1:$G$49,MATCH(orders!$D847,products!$A$1:$A$49,0),MATCH(orders!L$1,products!$A$1:$G$1,0))</f>
        <v>27.945</v>
      </c>
      <c r="M847" s="4">
        <f t="shared" si="39"/>
        <v>167.67000000000002</v>
      </c>
      <c r="N847" t="str">
        <f t="shared" si="40"/>
        <v>Excelsa</v>
      </c>
      <c r="O847" t="str">
        <f t="shared" si="41"/>
        <v>Dark</v>
      </c>
      <c r="P847" t="str">
        <f>_xlfn.XLOOKUP(Table1[[#This Row],[Customer ID]],customers!$A$1:$A$1001,customers!$I$1:$I$1001,,0)</f>
        <v>No</v>
      </c>
    </row>
    <row r="848" spans="1:16" x14ac:dyDescent="0.3">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6">
        <f>INDEX(products!$A$1:$G$49,MATCH(orders!$D848,products!$A$1:$A$49,0),MATCH(orders!K$1,products!$A$1:$G$1,0))</f>
        <v>2.5</v>
      </c>
      <c r="L848" s="5">
        <f>INDEX(products!$A$1:$G$49,MATCH(orders!$D848,products!$A$1:$A$49,0),MATCH(orders!L$1,products!$A$1:$G$1,0))</f>
        <v>25.874999999999996</v>
      </c>
      <c r="M848" s="4">
        <f t="shared" si="39"/>
        <v>51.749999999999993</v>
      </c>
      <c r="N848" t="str">
        <f t="shared" si="40"/>
        <v>Arabica</v>
      </c>
      <c r="O848" t="str">
        <f t="shared" si="41"/>
        <v>Medium</v>
      </c>
      <c r="P848" t="str">
        <f>_xlfn.XLOOKUP(Table1[[#This Row],[Customer ID]],customers!$A$1:$A$1001,customers!$I$1:$I$1001,,0)</f>
        <v>Yes</v>
      </c>
    </row>
    <row r="849" spans="1:16" x14ac:dyDescent="0.3">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6">
        <f>INDEX(products!$A$1:$G$49,MATCH(orders!$D849,products!$A$1:$A$49,0),MATCH(orders!K$1,products!$A$1:$G$1,0))</f>
        <v>0.2</v>
      </c>
      <c r="L849" s="5">
        <f>INDEX(products!$A$1:$G$49,MATCH(orders!$D849,products!$A$1:$A$49,0),MATCH(orders!L$1,products!$A$1:$G$1,0))</f>
        <v>2.9849999999999999</v>
      </c>
      <c r="M849" s="4">
        <f t="shared" si="39"/>
        <v>8.9550000000000001</v>
      </c>
      <c r="N849" t="str">
        <f t="shared" si="40"/>
        <v>Arabica</v>
      </c>
      <c r="O849" t="str">
        <f t="shared" si="41"/>
        <v>Dark</v>
      </c>
      <c r="P849" t="str">
        <f>_xlfn.XLOOKUP(Table1[[#This Row],[Customer ID]],customers!$A$1:$A$1001,customers!$I$1:$I$1001,,0)</f>
        <v>Yes</v>
      </c>
    </row>
    <row r="850" spans="1:16" x14ac:dyDescent="0.3">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6">
        <f>INDEX(products!$A$1:$G$49,MATCH(orders!$D850,products!$A$1:$A$49,0),MATCH(orders!K$1,products!$A$1:$G$1,0))</f>
        <v>0.5</v>
      </c>
      <c r="L850" s="5">
        <f>INDEX(products!$A$1:$G$49,MATCH(orders!$D850,products!$A$1:$A$49,0),MATCH(orders!L$1,products!$A$1:$G$1,0))</f>
        <v>8.91</v>
      </c>
      <c r="M850" s="4">
        <f t="shared" si="39"/>
        <v>53.46</v>
      </c>
      <c r="N850" t="str">
        <f t="shared" si="40"/>
        <v>Excelsa</v>
      </c>
      <c r="O850" t="str">
        <f t="shared" si="41"/>
        <v>Light</v>
      </c>
      <c r="P850" t="str">
        <f>_xlfn.XLOOKUP(Table1[[#This Row],[Customer ID]],customers!$A$1:$A$1001,customers!$I$1:$I$1001,,0)</f>
        <v>No</v>
      </c>
    </row>
    <row r="851" spans="1:16" x14ac:dyDescent="0.3">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6">
        <f>INDEX(products!$A$1:$G$49,MATCH(orders!$D851,products!$A$1:$A$49,0),MATCH(orders!K$1,products!$A$1:$G$1,0))</f>
        <v>0.2</v>
      </c>
      <c r="L851" s="5">
        <f>INDEX(products!$A$1:$G$49,MATCH(orders!$D851,products!$A$1:$A$49,0),MATCH(orders!L$1,products!$A$1:$G$1,0))</f>
        <v>3.8849999999999998</v>
      </c>
      <c r="M851" s="4">
        <f t="shared" si="39"/>
        <v>23.31</v>
      </c>
      <c r="N851" t="str">
        <f t="shared" si="40"/>
        <v>Arabica</v>
      </c>
      <c r="O851" t="str">
        <f t="shared" si="41"/>
        <v>Light</v>
      </c>
      <c r="P851" t="str">
        <f>_xlfn.XLOOKUP(Table1[[#This Row],[Customer ID]],customers!$A$1:$A$1001,customers!$I$1:$I$1001,,0)</f>
        <v>Yes</v>
      </c>
    </row>
    <row r="852" spans="1:16" x14ac:dyDescent="0.3">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6">
        <f>INDEX(products!$A$1:$G$49,MATCH(orders!$D852,products!$A$1:$A$49,0),MATCH(orders!K$1,products!$A$1:$G$1,0))</f>
        <v>0.2</v>
      </c>
      <c r="L852" s="5">
        <f>INDEX(products!$A$1:$G$49,MATCH(orders!$D852,products!$A$1:$A$49,0),MATCH(orders!L$1,products!$A$1:$G$1,0))</f>
        <v>3.375</v>
      </c>
      <c r="M852" s="4">
        <f t="shared" si="39"/>
        <v>6.75</v>
      </c>
      <c r="N852" t="str">
        <f t="shared" si="40"/>
        <v>Arabica</v>
      </c>
      <c r="O852" t="str">
        <f t="shared" si="41"/>
        <v>Medium</v>
      </c>
      <c r="P852" t="str">
        <f>_xlfn.XLOOKUP(Table1[[#This Row],[Customer ID]],customers!$A$1:$A$1001,customers!$I$1:$I$1001,,0)</f>
        <v>Yes</v>
      </c>
    </row>
    <row r="853" spans="1:16" x14ac:dyDescent="0.3">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6">
        <f>INDEX(products!$A$1:$G$49,MATCH(orders!$D853,products!$A$1:$A$49,0),MATCH(orders!K$1,products!$A$1:$G$1,0))</f>
        <v>0.5</v>
      </c>
      <c r="L853" s="5">
        <f>INDEX(products!$A$1:$G$49,MATCH(orders!$D853,products!$A$1:$A$49,0),MATCH(orders!L$1,products!$A$1:$G$1,0))</f>
        <v>7.77</v>
      </c>
      <c r="M853" s="4">
        <f t="shared" si="39"/>
        <v>7.77</v>
      </c>
      <c r="N853" t="str">
        <f t="shared" si="40"/>
        <v>Librica</v>
      </c>
      <c r="O853" t="str">
        <f t="shared" si="41"/>
        <v>Dark</v>
      </c>
      <c r="P853" t="str">
        <f>_xlfn.XLOOKUP(Table1[[#This Row],[Customer ID]],customers!$A$1:$A$1001,customers!$I$1:$I$1001,,0)</f>
        <v>Yes</v>
      </c>
    </row>
    <row r="854" spans="1:16" x14ac:dyDescent="0.3">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6">
        <f>INDEX(products!$A$1:$G$49,MATCH(orders!$D854,products!$A$1:$A$49,0),MATCH(orders!K$1,products!$A$1:$G$1,0))</f>
        <v>2.5</v>
      </c>
      <c r="L854" s="5">
        <f>INDEX(products!$A$1:$G$49,MATCH(orders!$D854,products!$A$1:$A$49,0),MATCH(orders!L$1,products!$A$1:$G$1,0))</f>
        <v>29.784999999999997</v>
      </c>
      <c r="M854" s="4">
        <f t="shared" si="39"/>
        <v>119.13999999999999</v>
      </c>
      <c r="N854" t="str">
        <f t="shared" si="40"/>
        <v>Librica</v>
      </c>
      <c r="O854" t="str">
        <f t="shared" si="41"/>
        <v>Dark</v>
      </c>
      <c r="P854" t="str">
        <f>_xlfn.XLOOKUP(Table1[[#This Row],[Customer ID]],customers!$A$1:$A$1001,customers!$I$1:$I$1001,,0)</f>
        <v>Yes</v>
      </c>
    </row>
    <row r="855" spans="1:16" x14ac:dyDescent="0.3">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6">
        <f>INDEX(products!$A$1:$G$49,MATCH(orders!$D855,products!$A$1:$A$49,0),MATCH(orders!K$1,products!$A$1:$G$1,0))</f>
        <v>1</v>
      </c>
      <c r="L855" s="5">
        <f>INDEX(products!$A$1:$G$49,MATCH(orders!$D855,products!$A$1:$A$49,0),MATCH(orders!L$1,products!$A$1:$G$1,0))</f>
        <v>9.9499999999999993</v>
      </c>
      <c r="M855" s="4">
        <f t="shared" si="39"/>
        <v>19.899999999999999</v>
      </c>
      <c r="N855" t="str">
        <f t="shared" si="40"/>
        <v>Arabica</v>
      </c>
      <c r="O855" t="str">
        <f t="shared" si="41"/>
        <v>Dark</v>
      </c>
      <c r="P855" t="str">
        <f>_xlfn.XLOOKUP(Table1[[#This Row],[Customer ID]],customers!$A$1:$A$1001,customers!$I$1:$I$1001,,0)</f>
        <v>No</v>
      </c>
    </row>
    <row r="856" spans="1:16" x14ac:dyDescent="0.3">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6">
        <f>INDEX(products!$A$1:$G$49,MATCH(orders!$D856,products!$A$1:$A$49,0),MATCH(orders!K$1,products!$A$1:$G$1,0))</f>
        <v>0.5</v>
      </c>
      <c r="L856" s="5">
        <f>INDEX(products!$A$1:$G$49,MATCH(orders!$D856,products!$A$1:$A$49,0),MATCH(orders!L$1,products!$A$1:$G$1,0))</f>
        <v>7.169999999999999</v>
      </c>
      <c r="M856" s="4">
        <f t="shared" si="39"/>
        <v>35.849999999999994</v>
      </c>
      <c r="N856" t="str">
        <f t="shared" si="40"/>
        <v>Robusta</v>
      </c>
      <c r="O856" t="str">
        <f t="shared" si="41"/>
        <v>Light</v>
      </c>
      <c r="P856" t="str">
        <f>_xlfn.XLOOKUP(Table1[[#This Row],[Customer ID]],customers!$A$1:$A$1001,customers!$I$1:$I$1001,,0)</f>
        <v>Yes</v>
      </c>
    </row>
    <row r="857" spans="1:16" x14ac:dyDescent="0.3">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6">
        <f>INDEX(products!$A$1:$G$49,MATCH(orders!$D857,products!$A$1:$A$49,0),MATCH(orders!K$1,products!$A$1:$G$1,0))</f>
        <v>2.5</v>
      </c>
      <c r="L857" s="5">
        <f>INDEX(products!$A$1:$G$49,MATCH(orders!$D857,products!$A$1:$A$49,0),MATCH(orders!L$1,products!$A$1:$G$1,0))</f>
        <v>29.784999999999997</v>
      </c>
      <c r="M857" s="4">
        <f t="shared" si="39"/>
        <v>89.35499999999999</v>
      </c>
      <c r="N857" t="str">
        <f t="shared" si="40"/>
        <v>Librica</v>
      </c>
      <c r="O857" t="str">
        <f t="shared" si="41"/>
        <v>Dark</v>
      </c>
      <c r="P857" t="str">
        <f>_xlfn.XLOOKUP(Table1[[#This Row],[Customer ID]],customers!$A$1:$A$1001,customers!$I$1:$I$1001,,0)</f>
        <v>No</v>
      </c>
    </row>
    <row r="858" spans="1:16" x14ac:dyDescent="0.3">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6">
        <f>INDEX(products!$A$1:$G$49,MATCH(orders!$D858,products!$A$1:$A$49,0),MATCH(orders!K$1,products!$A$1:$G$1,0))</f>
        <v>0.2</v>
      </c>
      <c r="L858" s="5">
        <f>INDEX(products!$A$1:$G$49,MATCH(orders!$D858,products!$A$1:$A$49,0),MATCH(orders!L$1,products!$A$1:$G$1,0))</f>
        <v>4.3650000000000002</v>
      </c>
      <c r="M858" s="4">
        <f t="shared" si="39"/>
        <v>8.73</v>
      </c>
      <c r="N858" t="str">
        <f t="shared" si="40"/>
        <v>Librica</v>
      </c>
      <c r="O858" t="str">
        <f t="shared" si="41"/>
        <v>Medium</v>
      </c>
      <c r="P858" t="str">
        <f>_xlfn.XLOOKUP(Table1[[#This Row],[Customer ID]],customers!$A$1:$A$1001,customers!$I$1:$I$1001,,0)</f>
        <v>Yes</v>
      </c>
    </row>
    <row r="859" spans="1:16" x14ac:dyDescent="0.3">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6">
        <f>INDEX(products!$A$1:$G$49,MATCH(orders!$D859,products!$A$1:$A$49,0),MATCH(orders!K$1,products!$A$1:$G$1,0))</f>
        <v>2.5</v>
      </c>
      <c r="L859" s="5">
        <f>INDEX(products!$A$1:$G$49,MATCH(orders!$D859,products!$A$1:$A$49,0),MATCH(orders!L$1,products!$A$1:$G$1,0))</f>
        <v>27.484999999999996</v>
      </c>
      <c r="M859" s="4">
        <f t="shared" si="39"/>
        <v>137.42499999999998</v>
      </c>
      <c r="N859" t="str">
        <f t="shared" si="40"/>
        <v>Robusta</v>
      </c>
      <c r="O859" t="str">
        <f t="shared" si="41"/>
        <v>Light</v>
      </c>
      <c r="P859" t="str">
        <f>_xlfn.XLOOKUP(Table1[[#This Row],[Customer ID]],customers!$A$1:$A$1001,customers!$I$1:$I$1001,,0)</f>
        <v>No</v>
      </c>
    </row>
    <row r="860" spans="1:16" x14ac:dyDescent="0.3">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6">
        <f>INDEX(products!$A$1:$G$49,MATCH(orders!$D860,products!$A$1:$A$49,0),MATCH(orders!K$1,products!$A$1:$G$1,0))</f>
        <v>0.5</v>
      </c>
      <c r="L860" s="5">
        <f>INDEX(products!$A$1:$G$49,MATCH(orders!$D860,products!$A$1:$A$49,0),MATCH(orders!L$1,products!$A$1:$G$1,0))</f>
        <v>8.73</v>
      </c>
      <c r="M860" s="4">
        <f t="shared" si="39"/>
        <v>34.92</v>
      </c>
      <c r="N860" t="str">
        <f t="shared" si="40"/>
        <v>Librica</v>
      </c>
      <c r="O860" t="str">
        <f t="shared" si="41"/>
        <v>Medium</v>
      </c>
      <c r="P860" t="str">
        <f>_xlfn.XLOOKUP(Table1[[#This Row],[Customer ID]],customers!$A$1:$A$1001,customers!$I$1:$I$1001,,0)</f>
        <v>No</v>
      </c>
    </row>
    <row r="861" spans="1:16" x14ac:dyDescent="0.3">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6">
        <f>INDEX(products!$A$1:$G$49,MATCH(orders!$D861,products!$A$1:$A$49,0),MATCH(orders!K$1,products!$A$1:$G$1,0))</f>
        <v>2.5</v>
      </c>
      <c r="L861" s="5">
        <f>INDEX(products!$A$1:$G$49,MATCH(orders!$D861,products!$A$1:$A$49,0),MATCH(orders!L$1,products!$A$1:$G$1,0))</f>
        <v>29.784999999999997</v>
      </c>
      <c r="M861" s="4">
        <f t="shared" si="39"/>
        <v>178.70999999999998</v>
      </c>
      <c r="N861" t="str">
        <f t="shared" si="40"/>
        <v>Arabica</v>
      </c>
      <c r="O861" t="str">
        <f t="shared" si="41"/>
        <v>Light</v>
      </c>
      <c r="P861" t="str">
        <f>_xlfn.XLOOKUP(Table1[[#This Row],[Customer ID]],customers!$A$1:$A$1001,customers!$I$1:$I$1001,,0)</f>
        <v>No</v>
      </c>
    </row>
    <row r="862" spans="1:16" x14ac:dyDescent="0.3">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6">
        <f>INDEX(products!$A$1:$G$49,MATCH(orders!$D862,products!$A$1:$A$49,0),MATCH(orders!K$1,products!$A$1:$G$1,0))</f>
        <v>2.5</v>
      </c>
      <c r="L862" s="5">
        <f>INDEX(products!$A$1:$G$49,MATCH(orders!$D862,products!$A$1:$A$49,0),MATCH(orders!L$1,products!$A$1:$G$1,0))</f>
        <v>25.874999999999996</v>
      </c>
      <c r="M862" s="4">
        <f t="shared" si="39"/>
        <v>25.874999999999996</v>
      </c>
      <c r="N862" t="str">
        <f t="shared" si="40"/>
        <v>Arabica</v>
      </c>
      <c r="O862" t="str">
        <f t="shared" si="41"/>
        <v>Medium</v>
      </c>
      <c r="P862" t="str">
        <f>_xlfn.XLOOKUP(Table1[[#This Row],[Customer ID]],customers!$A$1:$A$1001,customers!$I$1:$I$1001,,0)</f>
        <v>No</v>
      </c>
    </row>
    <row r="863" spans="1:16" x14ac:dyDescent="0.3">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6">
        <f>INDEX(products!$A$1:$G$49,MATCH(orders!$D863,products!$A$1:$A$49,0),MATCH(orders!K$1,products!$A$1:$G$1,0))</f>
        <v>1</v>
      </c>
      <c r="L863" s="5">
        <f>INDEX(products!$A$1:$G$49,MATCH(orders!$D863,products!$A$1:$A$49,0),MATCH(orders!L$1,products!$A$1:$G$1,0))</f>
        <v>12.95</v>
      </c>
      <c r="M863" s="4">
        <f t="shared" si="39"/>
        <v>77.699999999999989</v>
      </c>
      <c r="N863" t="str">
        <f t="shared" si="40"/>
        <v>Librica</v>
      </c>
      <c r="O863" t="str">
        <f t="shared" si="41"/>
        <v>Dark</v>
      </c>
      <c r="P863" t="str">
        <f>_xlfn.XLOOKUP(Table1[[#This Row],[Customer ID]],customers!$A$1:$A$1001,customers!$I$1:$I$1001,,0)</f>
        <v>Yes</v>
      </c>
    </row>
    <row r="864" spans="1:16" x14ac:dyDescent="0.3">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6">
        <f>INDEX(products!$A$1:$G$49,MATCH(orders!$D864,products!$A$1:$A$49,0),MATCH(orders!K$1,products!$A$1:$G$1,0))</f>
        <v>1</v>
      </c>
      <c r="L864" s="5">
        <f>INDEX(products!$A$1:$G$49,MATCH(orders!$D864,products!$A$1:$A$49,0),MATCH(orders!L$1,products!$A$1:$G$1,0))</f>
        <v>9.9499999999999993</v>
      </c>
      <c r="M864" s="4">
        <f t="shared" si="39"/>
        <v>9.9499999999999993</v>
      </c>
      <c r="N864" t="str">
        <f t="shared" si="40"/>
        <v>Robusta</v>
      </c>
      <c r="O864" t="str">
        <f t="shared" si="41"/>
        <v>Medium</v>
      </c>
      <c r="P864" t="str">
        <f>_xlfn.XLOOKUP(Table1[[#This Row],[Customer ID]],customers!$A$1:$A$1001,customers!$I$1:$I$1001,,0)</f>
        <v>Yes</v>
      </c>
    </row>
    <row r="865" spans="1:16" x14ac:dyDescent="0.3">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6">
        <f>INDEX(products!$A$1:$G$49,MATCH(orders!$D865,products!$A$1:$A$49,0),MATCH(orders!K$1,products!$A$1:$G$1,0))</f>
        <v>1</v>
      </c>
      <c r="L865" s="5">
        <f>INDEX(products!$A$1:$G$49,MATCH(orders!$D865,products!$A$1:$A$49,0),MATCH(orders!L$1,products!$A$1:$G$1,0))</f>
        <v>14.55</v>
      </c>
      <c r="M865" s="4">
        <f t="shared" si="39"/>
        <v>29.1</v>
      </c>
      <c r="N865" t="str">
        <f t="shared" si="40"/>
        <v>Librica</v>
      </c>
      <c r="O865" t="str">
        <f t="shared" si="41"/>
        <v>Medium</v>
      </c>
      <c r="P865" t="str">
        <f>_xlfn.XLOOKUP(Table1[[#This Row],[Customer ID]],customers!$A$1:$A$1001,customers!$I$1:$I$1001,,0)</f>
        <v>Yes</v>
      </c>
    </row>
    <row r="866" spans="1:16" x14ac:dyDescent="0.3">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6">
        <f>INDEX(products!$A$1:$G$49,MATCH(orders!$D866,products!$A$1:$A$49,0),MATCH(orders!K$1,products!$A$1:$G$1,0))</f>
        <v>0.2</v>
      </c>
      <c r="L866" s="5">
        <f>INDEX(products!$A$1:$G$49,MATCH(orders!$D866,products!$A$1:$A$49,0),MATCH(orders!L$1,products!$A$1:$G$1,0))</f>
        <v>3.5849999999999995</v>
      </c>
      <c r="M866" s="4">
        <f t="shared" si="39"/>
        <v>21.509999999999998</v>
      </c>
      <c r="N866" t="str">
        <f t="shared" si="40"/>
        <v>Robusta</v>
      </c>
      <c r="O866" t="str">
        <f t="shared" si="41"/>
        <v>Light</v>
      </c>
      <c r="P866" t="str">
        <f>_xlfn.XLOOKUP(Table1[[#This Row],[Customer ID]],customers!$A$1:$A$1001,customers!$I$1:$I$1001,,0)</f>
        <v>No</v>
      </c>
    </row>
    <row r="867" spans="1:16" x14ac:dyDescent="0.3">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6">
        <f>INDEX(products!$A$1:$G$49,MATCH(orders!$D867,products!$A$1:$A$49,0),MATCH(orders!K$1,products!$A$1:$G$1,0))</f>
        <v>0.5</v>
      </c>
      <c r="L867" s="5">
        <f>INDEX(products!$A$1:$G$49,MATCH(orders!$D867,products!$A$1:$A$49,0),MATCH(orders!L$1,products!$A$1:$G$1,0))</f>
        <v>6.75</v>
      </c>
      <c r="M867" s="4">
        <f t="shared" si="39"/>
        <v>6.75</v>
      </c>
      <c r="N867" t="str">
        <f t="shared" si="40"/>
        <v>Arabica</v>
      </c>
      <c r="O867" t="str">
        <f t="shared" si="41"/>
        <v>Medium</v>
      </c>
      <c r="P867" t="str">
        <f>_xlfn.XLOOKUP(Table1[[#This Row],[Customer ID]],customers!$A$1:$A$1001,customers!$I$1:$I$1001,,0)</f>
        <v>Yes</v>
      </c>
    </row>
    <row r="868" spans="1:16" x14ac:dyDescent="0.3">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6">
        <f>INDEX(products!$A$1:$G$49,MATCH(orders!$D868,products!$A$1:$A$49,0),MATCH(orders!K$1,products!$A$1:$G$1,0))</f>
        <v>0.5</v>
      </c>
      <c r="L868" s="5">
        <f>INDEX(products!$A$1:$G$49,MATCH(orders!$D868,products!$A$1:$A$49,0),MATCH(orders!L$1,products!$A$1:$G$1,0))</f>
        <v>5.97</v>
      </c>
      <c r="M868" s="4">
        <f t="shared" si="39"/>
        <v>17.91</v>
      </c>
      <c r="N868" t="str">
        <f t="shared" si="40"/>
        <v>Arabica</v>
      </c>
      <c r="O868" t="str">
        <f t="shared" si="41"/>
        <v>Dark</v>
      </c>
      <c r="P868" t="str">
        <f>_xlfn.XLOOKUP(Table1[[#This Row],[Customer ID]],customers!$A$1:$A$1001,customers!$I$1:$I$1001,,0)</f>
        <v>No</v>
      </c>
    </row>
    <row r="869" spans="1:16" x14ac:dyDescent="0.3">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6">
        <f>INDEX(products!$A$1:$G$49,MATCH(orders!$D869,products!$A$1:$A$49,0),MATCH(orders!K$1,products!$A$1:$G$1,0))</f>
        <v>2.5</v>
      </c>
      <c r="L869" s="5">
        <f>INDEX(products!$A$1:$G$49,MATCH(orders!$D869,products!$A$1:$A$49,0),MATCH(orders!L$1,products!$A$1:$G$1,0))</f>
        <v>29.784999999999997</v>
      </c>
      <c r="M869" s="4">
        <f t="shared" si="39"/>
        <v>29.784999999999997</v>
      </c>
      <c r="N869" t="str">
        <f t="shared" si="40"/>
        <v>Arabica</v>
      </c>
      <c r="O869" t="str">
        <f t="shared" si="41"/>
        <v>Light</v>
      </c>
      <c r="P869" t="str">
        <f>_xlfn.XLOOKUP(Table1[[#This Row],[Customer ID]],customers!$A$1:$A$1001,customers!$I$1:$I$1001,,0)</f>
        <v>Yes</v>
      </c>
    </row>
    <row r="870" spans="1:16" x14ac:dyDescent="0.3">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6">
        <f>INDEX(products!$A$1:$G$49,MATCH(orders!$D870,products!$A$1:$A$49,0),MATCH(orders!K$1,products!$A$1:$G$1,0))</f>
        <v>0.5</v>
      </c>
      <c r="L870" s="5">
        <f>INDEX(products!$A$1:$G$49,MATCH(orders!$D870,products!$A$1:$A$49,0),MATCH(orders!L$1,products!$A$1:$G$1,0))</f>
        <v>8.25</v>
      </c>
      <c r="M870" s="4">
        <f t="shared" si="39"/>
        <v>41.25</v>
      </c>
      <c r="N870" t="str">
        <f t="shared" si="40"/>
        <v>Excelsa</v>
      </c>
      <c r="O870" t="str">
        <f t="shared" si="41"/>
        <v>Medium</v>
      </c>
      <c r="P870" t="str">
        <f>_xlfn.XLOOKUP(Table1[[#This Row],[Customer ID]],customers!$A$1:$A$1001,customers!$I$1:$I$1001,,0)</f>
        <v>Yes</v>
      </c>
    </row>
    <row r="871" spans="1:16" x14ac:dyDescent="0.3">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6">
        <f>INDEX(products!$A$1:$G$49,MATCH(orders!$D871,products!$A$1:$A$49,0),MATCH(orders!K$1,products!$A$1:$G$1,0))</f>
        <v>0.5</v>
      </c>
      <c r="L871" s="5">
        <f>INDEX(products!$A$1:$G$49,MATCH(orders!$D871,products!$A$1:$A$49,0),MATCH(orders!L$1,products!$A$1:$G$1,0))</f>
        <v>5.97</v>
      </c>
      <c r="M871" s="4">
        <f t="shared" si="39"/>
        <v>17.91</v>
      </c>
      <c r="N871" t="str">
        <f t="shared" si="40"/>
        <v>Robusta</v>
      </c>
      <c r="O871" t="str">
        <f t="shared" si="41"/>
        <v>Medium</v>
      </c>
      <c r="P871" t="str">
        <f>_xlfn.XLOOKUP(Table1[[#This Row],[Customer ID]],customers!$A$1:$A$1001,customers!$I$1:$I$1001,,0)</f>
        <v>Yes</v>
      </c>
    </row>
    <row r="872" spans="1:16" x14ac:dyDescent="0.3">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6">
        <f>INDEX(products!$A$1:$G$49,MATCH(orders!$D872,products!$A$1:$A$49,0),MATCH(orders!K$1,products!$A$1:$G$1,0))</f>
        <v>0.5</v>
      </c>
      <c r="L872" s="5">
        <f>INDEX(products!$A$1:$G$49,MATCH(orders!$D872,products!$A$1:$A$49,0),MATCH(orders!L$1,products!$A$1:$G$1,0))</f>
        <v>7.29</v>
      </c>
      <c r="M872" s="4">
        <f t="shared" si="39"/>
        <v>7.29</v>
      </c>
      <c r="N872" t="str">
        <f t="shared" si="40"/>
        <v>Excelsa</v>
      </c>
      <c r="O872" t="str">
        <f t="shared" si="41"/>
        <v>Dark</v>
      </c>
      <c r="P872" t="str">
        <f>_xlfn.XLOOKUP(Table1[[#This Row],[Customer ID]],customers!$A$1:$A$1001,customers!$I$1:$I$1001,,0)</f>
        <v>Yes</v>
      </c>
    </row>
    <row r="873" spans="1:16" x14ac:dyDescent="0.3">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6">
        <f>INDEX(products!$A$1:$G$49,MATCH(orders!$D873,products!$A$1:$A$49,0),MATCH(orders!K$1,products!$A$1:$G$1,0))</f>
        <v>1</v>
      </c>
      <c r="L873" s="5">
        <f>INDEX(products!$A$1:$G$49,MATCH(orders!$D873,products!$A$1:$A$49,0),MATCH(orders!L$1,products!$A$1:$G$1,0))</f>
        <v>14.85</v>
      </c>
      <c r="M873" s="4">
        <f t="shared" si="39"/>
        <v>29.7</v>
      </c>
      <c r="N873" t="str">
        <f t="shared" si="40"/>
        <v>Excelsa</v>
      </c>
      <c r="O873" t="str">
        <f t="shared" si="41"/>
        <v>Light</v>
      </c>
      <c r="P873" t="str">
        <f>_xlfn.XLOOKUP(Table1[[#This Row],[Customer ID]],customers!$A$1:$A$1001,customers!$I$1:$I$1001,,0)</f>
        <v>Yes</v>
      </c>
    </row>
    <row r="874" spans="1:16" x14ac:dyDescent="0.3">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6">
        <f>INDEX(products!$A$1:$G$49,MATCH(orders!$D874,products!$A$1:$A$49,0),MATCH(orders!K$1,products!$A$1:$G$1,0))</f>
        <v>1</v>
      </c>
      <c r="L874" s="5">
        <f>INDEX(products!$A$1:$G$49,MATCH(orders!$D874,products!$A$1:$A$49,0),MATCH(orders!L$1,products!$A$1:$G$1,0))</f>
        <v>11.25</v>
      </c>
      <c r="M874" s="4">
        <f t="shared" si="39"/>
        <v>22.5</v>
      </c>
      <c r="N874" t="str">
        <f t="shared" si="40"/>
        <v>Arabica</v>
      </c>
      <c r="O874" t="str">
        <f t="shared" si="41"/>
        <v>Medium</v>
      </c>
      <c r="P874" t="str">
        <f>_xlfn.XLOOKUP(Table1[[#This Row],[Customer ID]],customers!$A$1:$A$1001,customers!$I$1:$I$1001,,0)</f>
        <v>No</v>
      </c>
    </row>
    <row r="875" spans="1:16" x14ac:dyDescent="0.3">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6">
        <f>INDEX(products!$A$1:$G$49,MATCH(orders!$D875,products!$A$1:$A$49,0),MATCH(orders!K$1,products!$A$1:$G$1,0))</f>
        <v>0.2</v>
      </c>
      <c r="L875" s="5">
        <f>INDEX(products!$A$1:$G$49,MATCH(orders!$D875,products!$A$1:$A$49,0),MATCH(orders!L$1,products!$A$1:$G$1,0))</f>
        <v>2.9849999999999999</v>
      </c>
      <c r="M875" s="4">
        <f t="shared" si="39"/>
        <v>11.94</v>
      </c>
      <c r="N875" t="str">
        <f t="shared" si="40"/>
        <v>Robusta</v>
      </c>
      <c r="O875" t="str">
        <f t="shared" si="41"/>
        <v>Medium</v>
      </c>
      <c r="P875" t="str">
        <f>_xlfn.XLOOKUP(Table1[[#This Row],[Customer ID]],customers!$A$1:$A$1001,customers!$I$1:$I$1001,,0)</f>
        <v>Yes</v>
      </c>
    </row>
    <row r="876" spans="1:16" x14ac:dyDescent="0.3">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6">
        <f>INDEX(products!$A$1:$G$49,MATCH(orders!$D876,products!$A$1:$A$49,0),MATCH(orders!K$1,products!$A$1:$G$1,0))</f>
        <v>1</v>
      </c>
      <c r="L876" s="5">
        <f>INDEX(products!$A$1:$G$49,MATCH(orders!$D876,products!$A$1:$A$49,0),MATCH(orders!L$1,products!$A$1:$G$1,0))</f>
        <v>12.95</v>
      </c>
      <c r="M876" s="4">
        <f t="shared" si="39"/>
        <v>25.9</v>
      </c>
      <c r="N876" t="str">
        <f t="shared" si="40"/>
        <v>Arabica</v>
      </c>
      <c r="O876" t="str">
        <f t="shared" si="41"/>
        <v>Light</v>
      </c>
      <c r="P876" t="str">
        <f>_xlfn.XLOOKUP(Table1[[#This Row],[Customer ID]],customers!$A$1:$A$1001,customers!$I$1:$I$1001,,0)</f>
        <v>No</v>
      </c>
    </row>
    <row r="877" spans="1:16" x14ac:dyDescent="0.3">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6">
        <f>INDEX(products!$A$1:$G$49,MATCH(orders!$D877,products!$A$1:$A$49,0),MATCH(orders!K$1,products!$A$1:$G$1,0))</f>
        <v>0.5</v>
      </c>
      <c r="L877" s="5">
        <f>INDEX(products!$A$1:$G$49,MATCH(orders!$D877,products!$A$1:$A$49,0),MATCH(orders!L$1,products!$A$1:$G$1,0))</f>
        <v>8.73</v>
      </c>
      <c r="M877" s="4">
        <f t="shared" si="39"/>
        <v>43.650000000000006</v>
      </c>
      <c r="N877" t="str">
        <f t="shared" si="40"/>
        <v>Librica</v>
      </c>
      <c r="O877" t="str">
        <f t="shared" si="41"/>
        <v>Medium</v>
      </c>
      <c r="P877" t="str">
        <f>_xlfn.XLOOKUP(Table1[[#This Row],[Customer ID]],customers!$A$1:$A$1001,customers!$I$1:$I$1001,,0)</f>
        <v>No</v>
      </c>
    </row>
    <row r="878" spans="1:16" x14ac:dyDescent="0.3">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6">
        <f>INDEX(products!$A$1:$G$49,MATCH(orders!$D878,products!$A$1:$A$49,0),MATCH(orders!K$1,products!$A$1:$G$1,0))</f>
        <v>0.5</v>
      </c>
      <c r="L878" s="5">
        <f>INDEX(products!$A$1:$G$49,MATCH(orders!$D878,products!$A$1:$A$49,0),MATCH(orders!L$1,products!$A$1:$G$1,0))</f>
        <v>7.77</v>
      </c>
      <c r="M878" s="4">
        <f t="shared" si="39"/>
        <v>46.62</v>
      </c>
      <c r="N878" t="str">
        <f t="shared" si="40"/>
        <v>Arabica</v>
      </c>
      <c r="O878" t="str">
        <f t="shared" si="41"/>
        <v>Light</v>
      </c>
      <c r="P878" t="str">
        <f>_xlfn.XLOOKUP(Table1[[#This Row],[Customer ID]],customers!$A$1:$A$1001,customers!$I$1:$I$1001,,0)</f>
        <v>No</v>
      </c>
    </row>
    <row r="879" spans="1:16" x14ac:dyDescent="0.3">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6">
        <f>INDEX(products!$A$1:$G$49,MATCH(orders!$D879,products!$A$1:$A$49,0),MATCH(orders!K$1,products!$A$1:$G$1,0))</f>
        <v>0.5</v>
      </c>
      <c r="L879" s="5">
        <f>INDEX(products!$A$1:$G$49,MATCH(orders!$D879,products!$A$1:$A$49,0),MATCH(orders!L$1,products!$A$1:$G$1,0))</f>
        <v>9.51</v>
      </c>
      <c r="M879" s="4">
        <f t="shared" si="39"/>
        <v>28.53</v>
      </c>
      <c r="N879" t="str">
        <f t="shared" si="40"/>
        <v>Librica</v>
      </c>
      <c r="O879" t="str">
        <f t="shared" si="41"/>
        <v>Light</v>
      </c>
      <c r="P879" t="str">
        <f>_xlfn.XLOOKUP(Table1[[#This Row],[Customer ID]],customers!$A$1:$A$1001,customers!$I$1:$I$1001,,0)</f>
        <v>No</v>
      </c>
    </row>
    <row r="880" spans="1:16" x14ac:dyDescent="0.3">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6">
        <f>INDEX(products!$A$1:$G$49,MATCH(orders!$D880,products!$A$1:$A$49,0),MATCH(orders!K$1,products!$A$1:$G$1,0))</f>
        <v>2.5</v>
      </c>
      <c r="L880" s="5">
        <f>INDEX(products!$A$1:$G$49,MATCH(orders!$D880,products!$A$1:$A$49,0),MATCH(orders!L$1,products!$A$1:$G$1,0))</f>
        <v>27.484999999999996</v>
      </c>
      <c r="M880" s="4">
        <f t="shared" si="39"/>
        <v>27.484999999999996</v>
      </c>
      <c r="N880" t="str">
        <f t="shared" si="40"/>
        <v>Robusta</v>
      </c>
      <c r="O880" t="str">
        <f t="shared" si="41"/>
        <v>Light</v>
      </c>
      <c r="P880" t="str">
        <f>_xlfn.XLOOKUP(Table1[[#This Row],[Customer ID]],customers!$A$1:$A$1001,customers!$I$1:$I$1001,,0)</f>
        <v>Yes</v>
      </c>
    </row>
    <row r="881" spans="1:16" x14ac:dyDescent="0.3">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6">
        <f>INDEX(products!$A$1:$G$49,MATCH(orders!$D881,products!$A$1:$A$49,0),MATCH(orders!K$1,products!$A$1:$G$1,0))</f>
        <v>0.2</v>
      </c>
      <c r="L881" s="5">
        <f>INDEX(products!$A$1:$G$49,MATCH(orders!$D881,products!$A$1:$A$49,0),MATCH(orders!L$1,products!$A$1:$G$1,0))</f>
        <v>3.645</v>
      </c>
      <c r="M881" s="4">
        <f t="shared" si="39"/>
        <v>10.935</v>
      </c>
      <c r="N881" t="str">
        <f t="shared" si="40"/>
        <v>Excelsa</v>
      </c>
      <c r="O881" t="str">
        <f t="shared" si="41"/>
        <v>Dark</v>
      </c>
      <c r="P881" t="str">
        <f>_xlfn.XLOOKUP(Table1[[#This Row],[Customer ID]],customers!$A$1:$A$1001,customers!$I$1:$I$1001,,0)</f>
        <v>No</v>
      </c>
    </row>
    <row r="882" spans="1:16" x14ac:dyDescent="0.3">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6">
        <f>INDEX(products!$A$1:$G$49,MATCH(orders!$D882,products!$A$1:$A$49,0),MATCH(orders!K$1,products!$A$1:$G$1,0))</f>
        <v>0.2</v>
      </c>
      <c r="L882" s="5">
        <f>INDEX(products!$A$1:$G$49,MATCH(orders!$D882,products!$A$1:$A$49,0),MATCH(orders!L$1,products!$A$1:$G$1,0))</f>
        <v>3.5849999999999995</v>
      </c>
      <c r="M882" s="4">
        <f t="shared" si="39"/>
        <v>7.169999999999999</v>
      </c>
      <c r="N882" t="str">
        <f t="shared" si="40"/>
        <v>Robusta</v>
      </c>
      <c r="O882" t="str">
        <f t="shared" si="41"/>
        <v>Light</v>
      </c>
      <c r="P882" t="str">
        <f>_xlfn.XLOOKUP(Table1[[#This Row],[Customer ID]],customers!$A$1:$A$1001,customers!$I$1:$I$1001,,0)</f>
        <v>No</v>
      </c>
    </row>
    <row r="883" spans="1:16" x14ac:dyDescent="0.3">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6">
        <f>INDEX(products!$A$1:$G$49,MATCH(orders!$D883,products!$A$1:$A$49,0),MATCH(orders!K$1,products!$A$1:$G$1,0))</f>
        <v>0.2</v>
      </c>
      <c r="L883" s="5">
        <f>INDEX(products!$A$1:$G$49,MATCH(orders!$D883,products!$A$1:$A$49,0),MATCH(orders!L$1,products!$A$1:$G$1,0))</f>
        <v>3.8849999999999998</v>
      </c>
      <c r="M883" s="4">
        <f t="shared" si="39"/>
        <v>23.31</v>
      </c>
      <c r="N883" t="str">
        <f t="shared" si="40"/>
        <v>Arabica</v>
      </c>
      <c r="O883" t="str">
        <f t="shared" si="41"/>
        <v>Light</v>
      </c>
      <c r="P883" t="str">
        <f>_xlfn.XLOOKUP(Table1[[#This Row],[Customer ID]],customers!$A$1:$A$1001,customers!$I$1:$I$1001,,0)</f>
        <v>Yes</v>
      </c>
    </row>
    <row r="884" spans="1:16" x14ac:dyDescent="0.3">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6">
        <f>INDEX(products!$A$1:$G$49,MATCH(orders!$D884,products!$A$1:$A$49,0),MATCH(orders!K$1,products!$A$1:$G$1,0))</f>
        <v>2.5</v>
      </c>
      <c r="L884" s="5">
        <f>INDEX(products!$A$1:$G$49,MATCH(orders!$D884,products!$A$1:$A$49,0),MATCH(orders!L$1,products!$A$1:$G$1,0))</f>
        <v>22.884999999999998</v>
      </c>
      <c r="M884" s="4">
        <f t="shared" si="39"/>
        <v>114.42499999999998</v>
      </c>
      <c r="N884" t="str">
        <f t="shared" si="40"/>
        <v>Arabica</v>
      </c>
      <c r="O884" t="str">
        <f t="shared" si="41"/>
        <v>Dark</v>
      </c>
      <c r="P884" t="str">
        <f>_xlfn.XLOOKUP(Table1[[#This Row],[Customer ID]],customers!$A$1:$A$1001,customers!$I$1:$I$1001,,0)</f>
        <v>Yes</v>
      </c>
    </row>
    <row r="885" spans="1:16" x14ac:dyDescent="0.3">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6">
        <f>INDEX(products!$A$1:$G$49,MATCH(orders!$D885,products!$A$1:$A$49,0),MATCH(orders!K$1,products!$A$1:$G$1,0))</f>
        <v>2.5</v>
      </c>
      <c r="L885" s="5">
        <f>INDEX(products!$A$1:$G$49,MATCH(orders!$D885,products!$A$1:$A$49,0),MATCH(orders!L$1,products!$A$1:$G$1,0))</f>
        <v>25.874999999999996</v>
      </c>
      <c r="M885" s="4">
        <f t="shared" si="39"/>
        <v>77.624999999999986</v>
      </c>
      <c r="N885" t="str">
        <f t="shared" si="40"/>
        <v>Arabica</v>
      </c>
      <c r="O885" t="str">
        <f t="shared" si="41"/>
        <v>Medium</v>
      </c>
      <c r="P885" t="str">
        <f>_xlfn.XLOOKUP(Table1[[#This Row],[Customer ID]],customers!$A$1:$A$1001,customers!$I$1:$I$1001,,0)</f>
        <v>Yes</v>
      </c>
    </row>
    <row r="886" spans="1:16" x14ac:dyDescent="0.3">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6">
        <f>INDEX(products!$A$1:$G$49,MATCH(orders!$D886,products!$A$1:$A$49,0),MATCH(orders!K$1,products!$A$1:$G$1,0))</f>
        <v>0.5</v>
      </c>
      <c r="L886" s="5">
        <f>INDEX(products!$A$1:$G$49,MATCH(orders!$D886,products!$A$1:$A$49,0),MATCH(orders!L$1,products!$A$1:$G$1,0))</f>
        <v>5.3699999999999992</v>
      </c>
      <c r="M886" s="4">
        <f t="shared" si="39"/>
        <v>5.3699999999999992</v>
      </c>
      <c r="N886" t="str">
        <f t="shared" si="40"/>
        <v>Robusta</v>
      </c>
      <c r="O886" t="str">
        <f t="shared" si="41"/>
        <v>Dark</v>
      </c>
      <c r="P886" t="str">
        <f>_xlfn.XLOOKUP(Table1[[#This Row],[Customer ID]],customers!$A$1:$A$1001,customers!$I$1:$I$1001,,0)</f>
        <v>Yes</v>
      </c>
    </row>
    <row r="887" spans="1:16" x14ac:dyDescent="0.3">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6">
        <f>INDEX(products!$A$1:$G$49,MATCH(orders!$D887,products!$A$1:$A$49,0),MATCH(orders!K$1,products!$A$1:$G$1,0))</f>
        <v>2.5</v>
      </c>
      <c r="L887" s="5">
        <f>INDEX(products!$A$1:$G$49,MATCH(orders!$D887,products!$A$1:$A$49,0),MATCH(orders!L$1,products!$A$1:$G$1,0))</f>
        <v>20.584999999999997</v>
      </c>
      <c r="M887" s="4">
        <f t="shared" si="39"/>
        <v>123.50999999999999</v>
      </c>
      <c r="N887" t="str">
        <f t="shared" si="40"/>
        <v>Robusta</v>
      </c>
      <c r="O887" t="str">
        <f t="shared" si="41"/>
        <v>Dark</v>
      </c>
      <c r="P887" t="str">
        <f>_xlfn.XLOOKUP(Table1[[#This Row],[Customer ID]],customers!$A$1:$A$1001,customers!$I$1:$I$1001,,0)</f>
        <v>No</v>
      </c>
    </row>
    <row r="888" spans="1:16" x14ac:dyDescent="0.3">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6">
        <f>INDEX(products!$A$1:$G$49,MATCH(orders!$D888,products!$A$1:$A$49,0),MATCH(orders!K$1,products!$A$1:$G$1,0))</f>
        <v>0.5</v>
      </c>
      <c r="L888" s="5">
        <f>INDEX(products!$A$1:$G$49,MATCH(orders!$D888,products!$A$1:$A$49,0),MATCH(orders!L$1,products!$A$1:$G$1,0))</f>
        <v>8.73</v>
      </c>
      <c r="M888" s="4">
        <f t="shared" si="39"/>
        <v>17.46</v>
      </c>
      <c r="N888" t="str">
        <f t="shared" si="40"/>
        <v>Librica</v>
      </c>
      <c r="O888" t="str">
        <f t="shared" si="41"/>
        <v>Medium</v>
      </c>
      <c r="P888" t="str">
        <f>_xlfn.XLOOKUP(Table1[[#This Row],[Customer ID]],customers!$A$1:$A$1001,customers!$I$1:$I$1001,,0)</f>
        <v>No</v>
      </c>
    </row>
    <row r="889" spans="1:16" x14ac:dyDescent="0.3">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6">
        <f>INDEX(products!$A$1:$G$49,MATCH(orders!$D889,products!$A$1:$A$49,0),MATCH(orders!K$1,products!$A$1:$G$1,0))</f>
        <v>0.2</v>
      </c>
      <c r="L889" s="5">
        <f>INDEX(products!$A$1:$G$49,MATCH(orders!$D889,products!$A$1:$A$49,0),MATCH(orders!L$1,products!$A$1:$G$1,0))</f>
        <v>4.4550000000000001</v>
      </c>
      <c r="M889" s="4">
        <f t="shared" si="39"/>
        <v>13.365</v>
      </c>
      <c r="N889" t="str">
        <f t="shared" si="40"/>
        <v>Excelsa</v>
      </c>
      <c r="O889" t="str">
        <f t="shared" si="41"/>
        <v>Light</v>
      </c>
      <c r="P889" t="str">
        <f>_xlfn.XLOOKUP(Table1[[#This Row],[Customer ID]],customers!$A$1:$A$1001,customers!$I$1:$I$1001,,0)</f>
        <v>No</v>
      </c>
    </row>
    <row r="890" spans="1:16" x14ac:dyDescent="0.3">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6">
        <f>INDEX(products!$A$1:$G$49,MATCH(orders!$D890,products!$A$1:$A$49,0),MATCH(orders!K$1,products!$A$1:$G$1,0))</f>
        <v>0.2</v>
      </c>
      <c r="L890" s="5">
        <f>INDEX(products!$A$1:$G$49,MATCH(orders!$D890,products!$A$1:$A$49,0),MATCH(orders!L$1,products!$A$1:$G$1,0))</f>
        <v>3.8849999999999998</v>
      </c>
      <c r="M890" s="4">
        <f t="shared" si="39"/>
        <v>7.77</v>
      </c>
      <c r="N890" t="str">
        <f t="shared" si="40"/>
        <v>Arabica</v>
      </c>
      <c r="O890" t="str">
        <f t="shared" si="41"/>
        <v>Light</v>
      </c>
      <c r="P890" t="str">
        <f>_xlfn.XLOOKUP(Table1[[#This Row],[Customer ID]],customers!$A$1:$A$1001,customers!$I$1:$I$1001,,0)</f>
        <v>Yes</v>
      </c>
    </row>
    <row r="891" spans="1:16" x14ac:dyDescent="0.3">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6">
        <f>INDEX(products!$A$1:$G$49,MATCH(orders!$D891,products!$A$1:$A$49,0),MATCH(orders!K$1,products!$A$1:$G$1,0))</f>
        <v>0.2</v>
      </c>
      <c r="L891" s="5">
        <f>INDEX(products!$A$1:$G$49,MATCH(orders!$D891,products!$A$1:$A$49,0),MATCH(orders!L$1,products!$A$1:$G$1,0))</f>
        <v>2.6849999999999996</v>
      </c>
      <c r="M891" s="4">
        <f t="shared" si="39"/>
        <v>2.6849999999999996</v>
      </c>
      <c r="N891" t="str">
        <f t="shared" si="40"/>
        <v>Robusta</v>
      </c>
      <c r="O891" t="str">
        <f t="shared" si="41"/>
        <v>Dark</v>
      </c>
      <c r="P891" t="str">
        <f>_xlfn.XLOOKUP(Table1[[#This Row],[Customer ID]],customers!$A$1:$A$1001,customers!$I$1:$I$1001,,0)</f>
        <v>Yes</v>
      </c>
    </row>
    <row r="892" spans="1:16" x14ac:dyDescent="0.3">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6">
        <f>INDEX(products!$A$1:$G$49,MATCH(orders!$D892,products!$A$1:$A$49,0),MATCH(orders!K$1,products!$A$1:$G$1,0))</f>
        <v>2.5</v>
      </c>
      <c r="L892" s="5">
        <f>INDEX(products!$A$1:$G$49,MATCH(orders!$D892,products!$A$1:$A$49,0),MATCH(orders!L$1,products!$A$1:$G$1,0))</f>
        <v>20.584999999999997</v>
      </c>
      <c r="M892" s="4">
        <f t="shared" si="39"/>
        <v>20.584999999999997</v>
      </c>
      <c r="N892" t="str">
        <f t="shared" si="40"/>
        <v>Robusta</v>
      </c>
      <c r="O892" t="str">
        <f t="shared" si="41"/>
        <v>Dark</v>
      </c>
      <c r="P892" t="str">
        <f>_xlfn.XLOOKUP(Table1[[#This Row],[Customer ID]],customers!$A$1:$A$1001,customers!$I$1:$I$1001,,0)</f>
        <v>Yes</v>
      </c>
    </row>
    <row r="893" spans="1:16" x14ac:dyDescent="0.3">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6">
        <f>INDEX(products!$A$1:$G$49,MATCH(orders!$D893,products!$A$1:$A$49,0),MATCH(orders!K$1,products!$A$1:$G$1,0))</f>
        <v>2.5</v>
      </c>
      <c r="L893" s="5">
        <f>INDEX(products!$A$1:$G$49,MATCH(orders!$D893,products!$A$1:$A$49,0),MATCH(orders!L$1,products!$A$1:$G$1,0))</f>
        <v>22.884999999999998</v>
      </c>
      <c r="M893" s="4">
        <f t="shared" si="39"/>
        <v>114.42499999999998</v>
      </c>
      <c r="N893" t="str">
        <f t="shared" si="40"/>
        <v>Arabica</v>
      </c>
      <c r="O893" t="str">
        <f t="shared" si="41"/>
        <v>Dark</v>
      </c>
      <c r="P893" t="str">
        <f>_xlfn.XLOOKUP(Table1[[#This Row],[Customer ID]],customers!$A$1:$A$1001,customers!$I$1:$I$1001,,0)</f>
        <v>Yes</v>
      </c>
    </row>
    <row r="894" spans="1:16" x14ac:dyDescent="0.3">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6">
        <f>INDEX(products!$A$1:$G$49,MATCH(orders!$D894,products!$A$1:$A$49,0),MATCH(orders!K$1,products!$A$1:$G$1,0))</f>
        <v>0.2</v>
      </c>
      <c r="L894" s="5">
        <f>INDEX(products!$A$1:$G$49,MATCH(orders!$D894,products!$A$1:$A$49,0),MATCH(orders!L$1,products!$A$1:$G$1,0))</f>
        <v>4.125</v>
      </c>
      <c r="M894" s="4">
        <f t="shared" si="39"/>
        <v>20.625</v>
      </c>
      <c r="N894" t="str">
        <f t="shared" si="40"/>
        <v>Excelsa</v>
      </c>
      <c r="O894" t="str">
        <f t="shared" si="41"/>
        <v>Medium</v>
      </c>
      <c r="P894" t="str">
        <f>_xlfn.XLOOKUP(Table1[[#This Row],[Customer ID]],customers!$A$1:$A$1001,customers!$I$1:$I$1001,,0)</f>
        <v>No</v>
      </c>
    </row>
    <row r="895" spans="1:16" x14ac:dyDescent="0.3">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6">
        <f>INDEX(products!$A$1:$G$49,MATCH(orders!$D895,products!$A$1:$A$49,0),MATCH(orders!K$1,products!$A$1:$G$1,0))</f>
        <v>0.5</v>
      </c>
      <c r="L895" s="5">
        <f>INDEX(products!$A$1:$G$49,MATCH(orders!$D895,products!$A$1:$A$49,0),MATCH(orders!L$1,products!$A$1:$G$1,0))</f>
        <v>9.51</v>
      </c>
      <c r="M895" s="4">
        <f t="shared" si="39"/>
        <v>57.06</v>
      </c>
      <c r="N895" t="str">
        <f t="shared" si="40"/>
        <v>Librica</v>
      </c>
      <c r="O895" t="str">
        <f t="shared" si="41"/>
        <v>Light</v>
      </c>
      <c r="P895" t="str">
        <f>_xlfn.XLOOKUP(Table1[[#This Row],[Customer ID]],customers!$A$1:$A$1001,customers!$I$1:$I$1001,,0)</f>
        <v>Yes</v>
      </c>
    </row>
    <row r="896" spans="1:16" x14ac:dyDescent="0.3">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6">
        <f>INDEX(products!$A$1:$G$49,MATCH(orders!$D896,products!$A$1:$A$49,0),MATCH(orders!K$1,products!$A$1:$G$1,0))</f>
        <v>2.5</v>
      </c>
      <c r="L896" s="5">
        <f>INDEX(products!$A$1:$G$49,MATCH(orders!$D896,products!$A$1:$A$49,0),MATCH(orders!L$1,products!$A$1:$G$1,0))</f>
        <v>20.584999999999997</v>
      </c>
      <c r="M896" s="4">
        <f t="shared" si="39"/>
        <v>82.339999999999989</v>
      </c>
      <c r="N896" t="str">
        <f t="shared" si="40"/>
        <v>Robusta</v>
      </c>
      <c r="O896" t="str">
        <f t="shared" si="41"/>
        <v>Dark</v>
      </c>
      <c r="P896" t="str">
        <f>_xlfn.XLOOKUP(Table1[[#This Row],[Customer ID]],customers!$A$1:$A$1001,customers!$I$1:$I$1001,,0)</f>
        <v>Yes</v>
      </c>
    </row>
    <row r="897" spans="1:16" x14ac:dyDescent="0.3">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6">
        <f>INDEX(products!$A$1:$G$49,MATCH(orders!$D897,products!$A$1:$A$49,0),MATCH(orders!K$1,products!$A$1:$G$1,0))</f>
        <v>2.5</v>
      </c>
      <c r="L897" s="5">
        <f>INDEX(products!$A$1:$G$49,MATCH(orders!$D897,products!$A$1:$A$49,0),MATCH(orders!L$1,products!$A$1:$G$1,0))</f>
        <v>31.624999999999996</v>
      </c>
      <c r="M897" s="4">
        <f t="shared" si="39"/>
        <v>158.12499999999997</v>
      </c>
      <c r="N897" t="str">
        <f t="shared" si="40"/>
        <v>Excelsa</v>
      </c>
      <c r="O897" t="str">
        <f t="shared" si="41"/>
        <v>Medium</v>
      </c>
      <c r="P897" t="str">
        <f>_xlfn.XLOOKUP(Table1[[#This Row],[Customer ID]],customers!$A$1:$A$1001,customers!$I$1:$I$1001,,0)</f>
        <v>No</v>
      </c>
    </row>
    <row r="898" spans="1:16" x14ac:dyDescent="0.3">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6">
        <f>INDEX(products!$A$1:$G$49,MATCH(orders!$D898,products!$A$1:$A$49,0),MATCH(orders!K$1,products!$A$1:$G$1,0))</f>
        <v>0.5</v>
      </c>
      <c r="L898" s="5">
        <f>INDEX(products!$A$1:$G$49,MATCH(orders!$D898,products!$A$1:$A$49,0),MATCH(orders!L$1,products!$A$1:$G$1,0))</f>
        <v>5.3699999999999992</v>
      </c>
      <c r="M898" s="4">
        <f t="shared" si="39"/>
        <v>32.22</v>
      </c>
      <c r="N898" t="str">
        <f t="shared" si="40"/>
        <v>Robusta</v>
      </c>
      <c r="O898" t="str">
        <f t="shared" si="41"/>
        <v>Dark</v>
      </c>
      <c r="P898" t="str">
        <f>_xlfn.XLOOKUP(Table1[[#This Row],[Customer ID]],customers!$A$1:$A$1001,customers!$I$1:$I$1001,,0)</f>
        <v>Yes</v>
      </c>
    </row>
    <row r="899" spans="1:16" x14ac:dyDescent="0.3">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6">
        <f>INDEX(products!$A$1:$G$49,MATCH(orders!$D899,products!$A$1:$A$49,0),MATCH(orders!K$1,products!$A$1:$G$1,0))</f>
        <v>1</v>
      </c>
      <c r="L899" s="5">
        <f>INDEX(products!$A$1:$G$49,MATCH(orders!$D899,products!$A$1:$A$49,0),MATCH(orders!L$1,products!$A$1:$G$1,0))</f>
        <v>12.15</v>
      </c>
      <c r="M899" s="4">
        <f t="shared" ref="M899:M962" si="42">L899*E899</f>
        <v>24.3</v>
      </c>
      <c r="N899" t="str">
        <f t="shared" ref="N899:N962" si="43">IF(I899="Rob","Robusta",IF(I899="Exc","Excelsa",IF(I899="Ara","Arabica",IF(I899="Lib","Librica",""))))</f>
        <v>Excelsa</v>
      </c>
      <c r="O899" t="str">
        <f t="shared" ref="O899:O962" si="44">IF(J899="M","Medium",IF(J899="L","Light",IF(J899="D","Dark","")))</f>
        <v>Dark</v>
      </c>
      <c r="P899" t="str">
        <f>_xlfn.XLOOKUP(Table1[[#This Row],[Customer ID]],customers!$A$1:$A$1001,customers!$I$1:$I$1001,,0)</f>
        <v>No</v>
      </c>
    </row>
    <row r="900" spans="1:16" x14ac:dyDescent="0.3">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6">
        <f>INDEX(products!$A$1:$G$49,MATCH(orders!$D900,products!$A$1:$A$49,0),MATCH(orders!K$1,products!$A$1:$G$1,0))</f>
        <v>0.5</v>
      </c>
      <c r="L900" s="5">
        <f>INDEX(products!$A$1:$G$49,MATCH(orders!$D900,products!$A$1:$A$49,0),MATCH(orders!L$1,products!$A$1:$G$1,0))</f>
        <v>7.169999999999999</v>
      </c>
      <c r="M900" s="4">
        <f t="shared" si="42"/>
        <v>35.849999999999994</v>
      </c>
      <c r="N900" t="str">
        <f t="shared" si="43"/>
        <v>Robusta</v>
      </c>
      <c r="O900" t="str">
        <f t="shared" si="44"/>
        <v>Light</v>
      </c>
      <c r="P900" t="str">
        <f>_xlfn.XLOOKUP(Table1[[#This Row],[Customer ID]],customers!$A$1:$A$1001,customers!$I$1:$I$1001,,0)</f>
        <v>No</v>
      </c>
    </row>
    <row r="901" spans="1:16" x14ac:dyDescent="0.3">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6">
        <f>INDEX(products!$A$1:$G$49,MATCH(orders!$D901,products!$A$1:$A$49,0),MATCH(orders!K$1,products!$A$1:$G$1,0))</f>
        <v>1</v>
      </c>
      <c r="L901" s="5">
        <f>INDEX(products!$A$1:$G$49,MATCH(orders!$D901,products!$A$1:$A$49,0),MATCH(orders!L$1,products!$A$1:$G$1,0))</f>
        <v>14.55</v>
      </c>
      <c r="M901" s="4">
        <f t="shared" si="42"/>
        <v>72.75</v>
      </c>
      <c r="N901" t="str">
        <f t="shared" si="43"/>
        <v>Librica</v>
      </c>
      <c r="O901" t="str">
        <f t="shared" si="44"/>
        <v>Medium</v>
      </c>
      <c r="P901" t="str">
        <f>_xlfn.XLOOKUP(Table1[[#This Row],[Customer ID]],customers!$A$1:$A$1001,customers!$I$1:$I$1001,,0)</f>
        <v>No</v>
      </c>
    </row>
    <row r="902" spans="1:16" x14ac:dyDescent="0.3">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6">
        <f>INDEX(products!$A$1:$G$49,MATCH(orders!$D902,products!$A$1:$A$49,0),MATCH(orders!K$1,products!$A$1:$G$1,0))</f>
        <v>1</v>
      </c>
      <c r="L902" s="5">
        <f>INDEX(products!$A$1:$G$49,MATCH(orders!$D902,products!$A$1:$A$49,0),MATCH(orders!L$1,products!$A$1:$G$1,0))</f>
        <v>15.85</v>
      </c>
      <c r="M902" s="4">
        <f t="shared" si="42"/>
        <v>47.55</v>
      </c>
      <c r="N902" t="str">
        <f t="shared" si="43"/>
        <v>Librica</v>
      </c>
      <c r="O902" t="str">
        <f t="shared" si="44"/>
        <v>Light</v>
      </c>
      <c r="P902" t="str">
        <f>_xlfn.XLOOKUP(Table1[[#This Row],[Customer ID]],customers!$A$1:$A$1001,customers!$I$1:$I$1001,,0)</f>
        <v>No</v>
      </c>
    </row>
    <row r="903" spans="1:16" x14ac:dyDescent="0.3">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6">
        <f>INDEX(products!$A$1:$G$49,MATCH(orders!$D903,products!$A$1:$A$49,0),MATCH(orders!K$1,products!$A$1:$G$1,0))</f>
        <v>0.2</v>
      </c>
      <c r="L903" s="5">
        <f>INDEX(products!$A$1:$G$49,MATCH(orders!$D903,products!$A$1:$A$49,0),MATCH(orders!L$1,products!$A$1:$G$1,0))</f>
        <v>3.5849999999999995</v>
      </c>
      <c r="M903" s="4">
        <f t="shared" si="42"/>
        <v>3.5849999999999995</v>
      </c>
      <c r="N903" t="str">
        <f t="shared" si="43"/>
        <v>Robusta</v>
      </c>
      <c r="O903" t="str">
        <f t="shared" si="44"/>
        <v>Light</v>
      </c>
      <c r="P903" t="str">
        <f>_xlfn.XLOOKUP(Table1[[#This Row],[Customer ID]],customers!$A$1:$A$1001,customers!$I$1:$I$1001,,0)</f>
        <v>Yes</v>
      </c>
    </row>
    <row r="904" spans="1:16" x14ac:dyDescent="0.3">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6">
        <f>INDEX(products!$A$1:$G$49,MATCH(orders!$D904,products!$A$1:$A$49,0),MATCH(orders!K$1,products!$A$1:$G$1,0))</f>
        <v>2.5</v>
      </c>
      <c r="L904" s="5">
        <f>INDEX(products!$A$1:$G$49,MATCH(orders!$D904,products!$A$1:$A$49,0),MATCH(orders!L$1,products!$A$1:$G$1,0))</f>
        <v>31.624999999999996</v>
      </c>
      <c r="M904" s="4">
        <f t="shared" si="42"/>
        <v>158.12499999999997</v>
      </c>
      <c r="N904" t="str">
        <f t="shared" si="43"/>
        <v>Excelsa</v>
      </c>
      <c r="O904" t="str">
        <f t="shared" si="44"/>
        <v>Medium</v>
      </c>
      <c r="P904" t="str">
        <f>_xlfn.XLOOKUP(Table1[[#This Row],[Customer ID]],customers!$A$1:$A$1001,customers!$I$1:$I$1001,,0)</f>
        <v>No</v>
      </c>
    </row>
    <row r="905" spans="1:16" x14ac:dyDescent="0.3">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6">
        <f>INDEX(products!$A$1:$G$49,MATCH(orders!$D905,products!$A$1:$A$49,0),MATCH(orders!K$1,products!$A$1:$G$1,0))</f>
        <v>0.5</v>
      </c>
      <c r="L905" s="5">
        <f>INDEX(products!$A$1:$G$49,MATCH(orders!$D905,products!$A$1:$A$49,0),MATCH(orders!L$1,products!$A$1:$G$1,0))</f>
        <v>8.73</v>
      </c>
      <c r="M905" s="4">
        <f t="shared" si="42"/>
        <v>17.46</v>
      </c>
      <c r="N905" t="str">
        <f t="shared" si="43"/>
        <v>Librica</v>
      </c>
      <c r="O905" t="str">
        <f t="shared" si="44"/>
        <v>Medium</v>
      </c>
      <c r="P905" t="str">
        <f>_xlfn.XLOOKUP(Table1[[#This Row],[Customer ID]],customers!$A$1:$A$1001,customers!$I$1:$I$1001,,0)</f>
        <v>No</v>
      </c>
    </row>
    <row r="906" spans="1:16" x14ac:dyDescent="0.3">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6">
        <f>INDEX(products!$A$1:$G$49,MATCH(orders!$D906,products!$A$1:$A$49,0),MATCH(orders!K$1,products!$A$1:$G$1,0))</f>
        <v>2.5</v>
      </c>
      <c r="L906" s="5">
        <f>INDEX(products!$A$1:$G$49,MATCH(orders!$D906,products!$A$1:$A$49,0),MATCH(orders!L$1,products!$A$1:$G$1,0))</f>
        <v>29.784999999999997</v>
      </c>
      <c r="M906" s="4">
        <f t="shared" si="42"/>
        <v>148.92499999999998</v>
      </c>
      <c r="N906" t="str">
        <f t="shared" si="43"/>
        <v>Arabica</v>
      </c>
      <c r="O906" t="str">
        <f t="shared" si="44"/>
        <v>Light</v>
      </c>
      <c r="P906" t="str">
        <f>_xlfn.XLOOKUP(Table1[[#This Row],[Customer ID]],customers!$A$1:$A$1001,customers!$I$1:$I$1001,,0)</f>
        <v>No</v>
      </c>
    </row>
    <row r="907" spans="1:16" x14ac:dyDescent="0.3">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6">
        <f>INDEX(products!$A$1:$G$49,MATCH(orders!$D907,products!$A$1:$A$49,0),MATCH(orders!K$1,products!$A$1:$G$1,0))</f>
        <v>0.5</v>
      </c>
      <c r="L907" s="5">
        <f>INDEX(products!$A$1:$G$49,MATCH(orders!$D907,products!$A$1:$A$49,0),MATCH(orders!L$1,products!$A$1:$G$1,0))</f>
        <v>6.75</v>
      </c>
      <c r="M907" s="4">
        <f t="shared" si="42"/>
        <v>40.5</v>
      </c>
      <c r="N907" t="str">
        <f t="shared" si="43"/>
        <v>Arabica</v>
      </c>
      <c r="O907" t="str">
        <f t="shared" si="44"/>
        <v>Medium</v>
      </c>
      <c r="P907" t="str">
        <f>_xlfn.XLOOKUP(Table1[[#This Row],[Customer ID]],customers!$A$1:$A$1001,customers!$I$1:$I$1001,,0)</f>
        <v>Yes</v>
      </c>
    </row>
    <row r="908" spans="1:16" x14ac:dyDescent="0.3">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6">
        <f>INDEX(products!$A$1:$G$49,MATCH(orders!$D908,products!$A$1:$A$49,0),MATCH(orders!K$1,products!$A$1:$G$1,0))</f>
        <v>0.5</v>
      </c>
      <c r="L908" s="5">
        <f>INDEX(products!$A$1:$G$49,MATCH(orders!$D908,products!$A$1:$A$49,0),MATCH(orders!L$1,products!$A$1:$G$1,0))</f>
        <v>6.75</v>
      </c>
      <c r="M908" s="4">
        <f t="shared" si="42"/>
        <v>27</v>
      </c>
      <c r="N908" t="str">
        <f t="shared" si="43"/>
        <v>Arabica</v>
      </c>
      <c r="O908" t="str">
        <f t="shared" si="44"/>
        <v>Medium</v>
      </c>
      <c r="P908" t="str">
        <f>_xlfn.XLOOKUP(Table1[[#This Row],[Customer ID]],customers!$A$1:$A$1001,customers!$I$1:$I$1001,,0)</f>
        <v>Yes</v>
      </c>
    </row>
    <row r="909" spans="1:16" x14ac:dyDescent="0.3">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6">
        <f>INDEX(products!$A$1:$G$49,MATCH(orders!$D909,products!$A$1:$A$49,0),MATCH(orders!K$1,products!$A$1:$G$1,0))</f>
        <v>1</v>
      </c>
      <c r="L909" s="5">
        <f>INDEX(products!$A$1:$G$49,MATCH(orders!$D909,products!$A$1:$A$49,0),MATCH(orders!L$1,products!$A$1:$G$1,0))</f>
        <v>12.95</v>
      </c>
      <c r="M909" s="4">
        <f t="shared" si="42"/>
        <v>38.849999999999994</v>
      </c>
      <c r="N909" t="str">
        <f t="shared" si="43"/>
        <v>Librica</v>
      </c>
      <c r="O909" t="str">
        <f t="shared" si="44"/>
        <v>Dark</v>
      </c>
      <c r="P909" t="str">
        <f>_xlfn.XLOOKUP(Table1[[#This Row],[Customer ID]],customers!$A$1:$A$1001,customers!$I$1:$I$1001,,0)</f>
        <v>No</v>
      </c>
    </row>
    <row r="910" spans="1:16" x14ac:dyDescent="0.3">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6">
        <f>INDEX(products!$A$1:$G$49,MATCH(orders!$D910,products!$A$1:$A$49,0),MATCH(orders!K$1,products!$A$1:$G$1,0))</f>
        <v>1</v>
      </c>
      <c r="L910" s="5">
        <f>INDEX(products!$A$1:$G$49,MATCH(orders!$D910,products!$A$1:$A$49,0),MATCH(orders!L$1,products!$A$1:$G$1,0))</f>
        <v>11.95</v>
      </c>
      <c r="M910" s="4">
        <f t="shared" si="42"/>
        <v>59.75</v>
      </c>
      <c r="N910" t="str">
        <f t="shared" si="43"/>
        <v>Robusta</v>
      </c>
      <c r="O910" t="str">
        <f t="shared" si="44"/>
        <v>Light</v>
      </c>
      <c r="P910" t="str">
        <f>_xlfn.XLOOKUP(Table1[[#This Row],[Customer ID]],customers!$A$1:$A$1001,customers!$I$1:$I$1001,,0)</f>
        <v>No</v>
      </c>
    </row>
    <row r="911" spans="1:16" x14ac:dyDescent="0.3">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6">
        <f>INDEX(products!$A$1:$G$49,MATCH(orders!$D911,products!$A$1:$A$49,0),MATCH(orders!K$1,products!$A$1:$G$1,0))</f>
        <v>0.2</v>
      </c>
      <c r="L911" s="5">
        <f>INDEX(products!$A$1:$G$49,MATCH(orders!$D911,products!$A$1:$A$49,0),MATCH(orders!L$1,products!$A$1:$G$1,0))</f>
        <v>3.5849999999999995</v>
      </c>
      <c r="M911" s="4">
        <f t="shared" si="42"/>
        <v>10.754999999999999</v>
      </c>
      <c r="N911" t="str">
        <f t="shared" si="43"/>
        <v>Robusta</v>
      </c>
      <c r="O911" t="str">
        <f t="shared" si="44"/>
        <v>Light</v>
      </c>
      <c r="P911" t="str">
        <f>_xlfn.XLOOKUP(Table1[[#This Row],[Customer ID]],customers!$A$1:$A$1001,customers!$I$1:$I$1001,,0)</f>
        <v>No</v>
      </c>
    </row>
    <row r="912" spans="1:16" x14ac:dyDescent="0.3">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6">
        <f>INDEX(products!$A$1:$G$49,MATCH(orders!$D912,products!$A$1:$A$49,0),MATCH(orders!K$1,products!$A$1:$G$1,0))</f>
        <v>2.5</v>
      </c>
      <c r="L912" s="5">
        <f>INDEX(products!$A$1:$G$49,MATCH(orders!$D912,products!$A$1:$A$49,0),MATCH(orders!L$1,products!$A$1:$G$1,0))</f>
        <v>22.884999999999998</v>
      </c>
      <c r="M912" s="4">
        <f t="shared" si="42"/>
        <v>91.539999999999992</v>
      </c>
      <c r="N912" t="str">
        <f t="shared" si="43"/>
        <v>Arabica</v>
      </c>
      <c r="O912" t="str">
        <f t="shared" si="44"/>
        <v>Dark</v>
      </c>
      <c r="P912" t="str">
        <f>_xlfn.XLOOKUP(Table1[[#This Row],[Customer ID]],customers!$A$1:$A$1001,customers!$I$1:$I$1001,,0)</f>
        <v>No</v>
      </c>
    </row>
    <row r="913" spans="1:16" x14ac:dyDescent="0.3">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6">
        <f>INDEX(products!$A$1:$G$49,MATCH(orders!$D913,products!$A$1:$A$49,0),MATCH(orders!K$1,products!$A$1:$G$1,0))</f>
        <v>1</v>
      </c>
      <c r="L913" s="5">
        <f>INDEX(products!$A$1:$G$49,MATCH(orders!$D913,products!$A$1:$A$49,0),MATCH(orders!L$1,products!$A$1:$G$1,0))</f>
        <v>11.25</v>
      </c>
      <c r="M913" s="4">
        <f t="shared" si="42"/>
        <v>45</v>
      </c>
      <c r="N913" t="str">
        <f t="shared" si="43"/>
        <v>Arabica</v>
      </c>
      <c r="O913" t="str">
        <f t="shared" si="44"/>
        <v>Medium</v>
      </c>
      <c r="P913" t="str">
        <f>_xlfn.XLOOKUP(Table1[[#This Row],[Customer ID]],customers!$A$1:$A$1001,customers!$I$1:$I$1001,,0)</f>
        <v>Yes</v>
      </c>
    </row>
    <row r="914" spans="1:16" x14ac:dyDescent="0.3">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6">
        <f>INDEX(products!$A$1:$G$49,MATCH(orders!$D914,products!$A$1:$A$49,0),MATCH(orders!K$1,products!$A$1:$G$1,0))</f>
        <v>2.5</v>
      </c>
      <c r="L914" s="5">
        <f>INDEX(products!$A$1:$G$49,MATCH(orders!$D914,products!$A$1:$A$49,0),MATCH(orders!L$1,products!$A$1:$G$1,0))</f>
        <v>22.884999999999998</v>
      </c>
      <c r="M914" s="4">
        <f t="shared" si="42"/>
        <v>137.31</v>
      </c>
      <c r="N914" t="str">
        <f t="shared" si="43"/>
        <v>Robusta</v>
      </c>
      <c r="O914" t="str">
        <f t="shared" si="44"/>
        <v>Medium</v>
      </c>
      <c r="P914" t="str">
        <f>_xlfn.XLOOKUP(Table1[[#This Row],[Customer ID]],customers!$A$1:$A$1001,customers!$I$1:$I$1001,,0)</f>
        <v>Yes</v>
      </c>
    </row>
    <row r="915" spans="1:16" x14ac:dyDescent="0.3">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6">
        <f>INDEX(products!$A$1:$G$49,MATCH(orders!$D915,products!$A$1:$A$49,0),MATCH(orders!K$1,products!$A$1:$G$1,0))</f>
        <v>0.5</v>
      </c>
      <c r="L915" s="5">
        <f>INDEX(products!$A$1:$G$49,MATCH(orders!$D915,products!$A$1:$A$49,0),MATCH(orders!L$1,products!$A$1:$G$1,0))</f>
        <v>6.75</v>
      </c>
      <c r="M915" s="4">
        <f t="shared" si="42"/>
        <v>6.75</v>
      </c>
      <c r="N915" t="str">
        <f t="shared" si="43"/>
        <v>Arabica</v>
      </c>
      <c r="O915" t="str">
        <f t="shared" si="44"/>
        <v>Medium</v>
      </c>
      <c r="P915" t="str">
        <f>_xlfn.XLOOKUP(Table1[[#This Row],[Customer ID]],customers!$A$1:$A$1001,customers!$I$1:$I$1001,,0)</f>
        <v>No</v>
      </c>
    </row>
    <row r="916" spans="1:16" x14ac:dyDescent="0.3">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6">
        <f>INDEX(products!$A$1:$G$49,MATCH(orders!$D916,products!$A$1:$A$49,0),MATCH(orders!K$1,products!$A$1:$G$1,0))</f>
        <v>1</v>
      </c>
      <c r="L916" s="5">
        <f>INDEX(products!$A$1:$G$49,MATCH(orders!$D916,products!$A$1:$A$49,0),MATCH(orders!L$1,products!$A$1:$G$1,0))</f>
        <v>11.25</v>
      </c>
      <c r="M916" s="4">
        <f t="shared" si="42"/>
        <v>45</v>
      </c>
      <c r="N916" t="str">
        <f t="shared" si="43"/>
        <v>Arabica</v>
      </c>
      <c r="O916" t="str">
        <f t="shared" si="44"/>
        <v>Medium</v>
      </c>
      <c r="P916" t="str">
        <f>_xlfn.XLOOKUP(Table1[[#This Row],[Customer ID]],customers!$A$1:$A$1001,customers!$I$1:$I$1001,,0)</f>
        <v>No</v>
      </c>
    </row>
    <row r="917" spans="1:16" x14ac:dyDescent="0.3">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6">
        <f>INDEX(products!$A$1:$G$49,MATCH(orders!$D917,products!$A$1:$A$49,0),MATCH(orders!K$1,products!$A$1:$G$1,0))</f>
        <v>2.5</v>
      </c>
      <c r="L917" s="5">
        <f>INDEX(products!$A$1:$G$49,MATCH(orders!$D917,products!$A$1:$A$49,0),MATCH(orders!L$1,products!$A$1:$G$1,0))</f>
        <v>27.945</v>
      </c>
      <c r="M917" s="4">
        <f t="shared" si="42"/>
        <v>83.835000000000008</v>
      </c>
      <c r="N917" t="str">
        <f t="shared" si="43"/>
        <v>Excelsa</v>
      </c>
      <c r="O917" t="str">
        <f t="shared" si="44"/>
        <v>Dark</v>
      </c>
      <c r="P917" t="str">
        <f>_xlfn.XLOOKUP(Table1[[#This Row],[Customer ID]],customers!$A$1:$A$1001,customers!$I$1:$I$1001,,0)</f>
        <v>Yes</v>
      </c>
    </row>
    <row r="918" spans="1:16" x14ac:dyDescent="0.3">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6">
        <f>INDEX(products!$A$1:$G$49,MATCH(orders!$D918,products!$A$1:$A$49,0),MATCH(orders!K$1,products!$A$1:$G$1,0))</f>
        <v>0.2</v>
      </c>
      <c r="L918" s="5">
        <f>INDEX(products!$A$1:$G$49,MATCH(orders!$D918,products!$A$1:$A$49,0),MATCH(orders!L$1,products!$A$1:$G$1,0))</f>
        <v>3.645</v>
      </c>
      <c r="M918" s="4">
        <f t="shared" si="42"/>
        <v>3.645</v>
      </c>
      <c r="N918" t="str">
        <f t="shared" si="43"/>
        <v>Excelsa</v>
      </c>
      <c r="O918" t="str">
        <f t="shared" si="44"/>
        <v>Dark</v>
      </c>
      <c r="P918" t="str">
        <f>_xlfn.XLOOKUP(Table1[[#This Row],[Customer ID]],customers!$A$1:$A$1001,customers!$I$1:$I$1001,,0)</f>
        <v>Yes</v>
      </c>
    </row>
    <row r="919" spans="1:16" x14ac:dyDescent="0.3">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6">
        <f>INDEX(products!$A$1:$G$49,MATCH(orders!$D919,products!$A$1:$A$49,0),MATCH(orders!K$1,products!$A$1:$G$1,0))</f>
        <v>0.5</v>
      </c>
      <c r="L919" s="5">
        <f>INDEX(products!$A$1:$G$49,MATCH(orders!$D919,products!$A$1:$A$49,0),MATCH(orders!L$1,products!$A$1:$G$1,0))</f>
        <v>6.75</v>
      </c>
      <c r="M919" s="4">
        <f t="shared" si="42"/>
        <v>6.75</v>
      </c>
      <c r="N919" t="str">
        <f t="shared" si="43"/>
        <v>Arabica</v>
      </c>
      <c r="O919" t="str">
        <f t="shared" si="44"/>
        <v>Medium</v>
      </c>
      <c r="P919" t="str">
        <f>_xlfn.XLOOKUP(Table1[[#This Row],[Customer ID]],customers!$A$1:$A$1001,customers!$I$1:$I$1001,,0)</f>
        <v>No</v>
      </c>
    </row>
    <row r="920" spans="1:16" x14ac:dyDescent="0.3">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6">
        <f>INDEX(products!$A$1:$G$49,MATCH(orders!$D920,products!$A$1:$A$49,0),MATCH(orders!K$1,products!$A$1:$G$1,0))</f>
        <v>0.5</v>
      </c>
      <c r="L920" s="5">
        <f>INDEX(products!$A$1:$G$49,MATCH(orders!$D920,products!$A$1:$A$49,0),MATCH(orders!L$1,products!$A$1:$G$1,0))</f>
        <v>7.29</v>
      </c>
      <c r="M920" s="4">
        <f t="shared" si="42"/>
        <v>21.87</v>
      </c>
      <c r="N920" t="str">
        <f t="shared" si="43"/>
        <v>Excelsa</v>
      </c>
      <c r="O920" t="str">
        <f t="shared" si="44"/>
        <v>Dark</v>
      </c>
      <c r="P920" t="str">
        <f>_xlfn.XLOOKUP(Table1[[#This Row],[Customer ID]],customers!$A$1:$A$1001,customers!$I$1:$I$1001,,0)</f>
        <v>No</v>
      </c>
    </row>
    <row r="921" spans="1:16" x14ac:dyDescent="0.3">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6">
        <f>INDEX(products!$A$1:$G$49,MATCH(orders!$D921,products!$A$1:$A$49,0),MATCH(orders!K$1,products!$A$1:$G$1,0))</f>
        <v>0.2</v>
      </c>
      <c r="L921" s="5">
        <f>INDEX(products!$A$1:$G$49,MATCH(orders!$D921,products!$A$1:$A$49,0),MATCH(orders!L$1,products!$A$1:$G$1,0))</f>
        <v>2.6849999999999996</v>
      </c>
      <c r="M921" s="4">
        <f t="shared" si="42"/>
        <v>13.424999999999997</v>
      </c>
      <c r="N921" t="str">
        <f t="shared" si="43"/>
        <v>Robusta</v>
      </c>
      <c r="O921" t="str">
        <f t="shared" si="44"/>
        <v>Dark</v>
      </c>
      <c r="P921" t="str">
        <f>_xlfn.XLOOKUP(Table1[[#This Row],[Customer ID]],customers!$A$1:$A$1001,customers!$I$1:$I$1001,,0)</f>
        <v>Yes</v>
      </c>
    </row>
    <row r="922" spans="1:16" x14ac:dyDescent="0.3">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6">
        <f>INDEX(products!$A$1:$G$49,MATCH(orders!$D922,products!$A$1:$A$49,0),MATCH(orders!K$1,products!$A$1:$G$1,0))</f>
        <v>2.5</v>
      </c>
      <c r="L922" s="5">
        <f>INDEX(products!$A$1:$G$49,MATCH(orders!$D922,products!$A$1:$A$49,0),MATCH(orders!L$1,products!$A$1:$G$1,0))</f>
        <v>20.584999999999997</v>
      </c>
      <c r="M922" s="4">
        <f t="shared" si="42"/>
        <v>123.50999999999999</v>
      </c>
      <c r="N922" t="str">
        <f t="shared" si="43"/>
        <v>Robusta</v>
      </c>
      <c r="O922" t="str">
        <f t="shared" si="44"/>
        <v>Dark</v>
      </c>
      <c r="P922" t="str">
        <f>_xlfn.XLOOKUP(Table1[[#This Row],[Customer ID]],customers!$A$1:$A$1001,customers!$I$1:$I$1001,,0)</f>
        <v>No</v>
      </c>
    </row>
    <row r="923" spans="1:16" x14ac:dyDescent="0.3">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6">
        <f>INDEX(products!$A$1:$G$49,MATCH(orders!$D923,products!$A$1:$A$49,0),MATCH(orders!K$1,products!$A$1:$G$1,0))</f>
        <v>0.2</v>
      </c>
      <c r="L923" s="5">
        <f>INDEX(products!$A$1:$G$49,MATCH(orders!$D923,products!$A$1:$A$49,0),MATCH(orders!L$1,products!$A$1:$G$1,0))</f>
        <v>3.8849999999999998</v>
      </c>
      <c r="M923" s="4">
        <f t="shared" si="42"/>
        <v>7.77</v>
      </c>
      <c r="N923" t="str">
        <f t="shared" si="43"/>
        <v>Librica</v>
      </c>
      <c r="O923" t="str">
        <f t="shared" si="44"/>
        <v>Dark</v>
      </c>
      <c r="P923" t="str">
        <f>_xlfn.XLOOKUP(Table1[[#This Row],[Customer ID]],customers!$A$1:$A$1001,customers!$I$1:$I$1001,,0)</f>
        <v>No</v>
      </c>
    </row>
    <row r="924" spans="1:16" x14ac:dyDescent="0.3">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6">
        <f>INDEX(products!$A$1:$G$49,MATCH(orders!$D924,products!$A$1:$A$49,0),MATCH(orders!K$1,products!$A$1:$G$1,0))</f>
        <v>1</v>
      </c>
      <c r="L924" s="5">
        <f>INDEX(products!$A$1:$G$49,MATCH(orders!$D924,products!$A$1:$A$49,0),MATCH(orders!L$1,products!$A$1:$G$1,0))</f>
        <v>11.25</v>
      </c>
      <c r="M924" s="4">
        <f t="shared" si="42"/>
        <v>67.5</v>
      </c>
      <c r="N924" t="str">
        <f t="shared" si="43"/>
        <v>Arabica</v>
      </c>
      <c r="O924" t="str">
        <f t="shared" si="44"/>
        <v>Medium</v>
      </c>
      <c r="P924" t="str">
        <f>_xlfn.XLOOKUP(Table1[[#This Row],[Customer ID]],customers!$A$1:$A$1001,customers!$I$1:$I$1001,,0)</f>
        <v>Yes</v>
      </c>
    </row>
    <row r="925" spans="1:16" x14ac:dyDescent="0.3">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6">
        <f>INDEX(products!$A$1:$G$49,MATCH(orders!$D925,products!$A$1:$A$49,0),MATCH(orders!K$1,products!$A$1:$G$1,0))</f>
        <v>2.5</v>
      </c>
      <c r="L925" s="5">
        <f>INDEX(products!$A$1:$G$49,MATCH(orders!$D925,products!$A$1:$A$49,0),MATCH(orders!L$1,products!$A$1:$G$1,0))</f>
        <v>27.945</v>
      </c>
      <c r="M925" s="4">
        <f t="shared" si="42"/>
        <v>27.945</v>
      </c>
      <c r="N925" t="str">
        <f t="shared" si="43"/>
        <v>Excelsa</v>
      </c>
      <c r="O925" t="str">
        <f t="shared" si="44"/>
        <v>Dark</v>
      </c>
      <c r="P925" t="str">
        <f>_xlfn.XLOOKUP(Table1[[#This Row],[Customer ID]],customers!$A$1:$A$1001,customers!$I$1:$I$1001,,0)</f>
        <v>No</v>
      </c>
    </row>
    <row r="926" spans="1:16" x14ac:dyDescent="0.3">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6">
        <f>INDEX(products!$A$1:$G$49,MATCH(orders!$D926,products!$A$1:$A$49,0),MATCH(orders!K$1,products!$A$1:$G$1,0))</f>
        <v>2.5</v>
      </c>
      <c r="L926" s="5">
        <f>INDEX(products!$A$1:$G$49,MATCH(orders!$D926,products!$A$1:$A$49,0),MATCH(orders!L$1,products!$A$1:$G$1,0))</f>
        <v>29.784999999999997</v>
      </c>
      <c r="M926" s="4">
        <f t="shared" si="42"/>
        <v>89.35499999999999</v>
      </c>
      <c r="N926" t="str">
        <f t="shared" si="43"/>
        <v>Arabica</v>
      </c>
      <c r="O926" t="str">
        <f t="shared" si="44"/>
        <v>Light</v>
      </c>
      <c r="P926" t="str">
        <f>_xlfn.XLOOKUP(Table1[[#This Row],[Customer ID]],customers!$A$1:$A$1001,customers!$I$1:$I$1001,,0)</f>
        <v>No</v>
      </c>
    </row>
    <row r="927" spans="1:16" x14ac:dyDescent="0.3">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6">
        <f>INDEX(products!$A$1:$G$49,MATCH(orders!$D927,products!$A$1:$A$49,0),MATCH(orders!K$1,products!$A$1:$G$1,0))</f>
        <v>0.5</v>
      </c>
      <c r="L927" s="5">
        <f>INDEX(products!$A$1:$G$49,MATCH(orders!$D927,products!$A$1:$A$49,0),MATCH(orders!L$1,products!$A$1:$G$1,0))</f>
        <v>6.75</v>
      </c>
      <c r="M927" s="4">
        <f t="shared" si="42"/>
        <v>20.25</v>
      </c>
      <c r="N927" t="str">
        <f t="shared" si="43"/>
        <v>Arabica</v>
      </c>
      <c r="O927" t="str">
        <f t="shared" si="44"/>
        <v>Medium</v>
      </c>
      <c r="P927" t="str">
        <f>_xlfn.XLOOKUP(Table1[[#This Row],[Customer ID]],customers!$A$1:$A$1001,customers!$I$1:$I$1001,,0)</f>
        <v>No</v>
      </c>
    </row>
    <row r="928" spans="1:16" x14ac:dyDescent="0.3">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6">
        <f>INDEX(products!$A$1:$G$49,MATCH(orders!$D928,products!$A$1:$A$49,0),MATCH(orders!K$1,products!$A$1:$G$1,0))</f>
        <v>0.5</v>
      </c>
      <c r="L928" s="5">
        <f>INDEX(products!$A$1:$G$49,MATCH(orders!$D928,products!$A$1:$A$49,0),MATCH(orders!L$1,products!$A$1:$G$1,0))</f>
        <v>6.75</v>
      </c>
      <c r="M928" s="4">
        <f t="shared" si="42"/>
        <v>33.75</v>
      </c>
      <c r="N928" t="str">
        <f t="shared" si="43"/>
        <v>Arabica</v>
      </c>
      <c r="O928" t="str">
        <f t="shared" si="44"/>
        <v>Medium</v>
      </c>
      <c r="P928" t="str">
        <f>_xlfn.XLOOKUP(Table1[[#This Row],[Customer ID]],customers!$A$1:$A$1001,customers!$I$1:$I$1001,,0)</f>
        <v>Yes</v>
      </c>
    </row>
    <row r="929" spans="1:16" x14ac:dyDescent="0.3">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6">
        <f>INDEX(products!$A$1:$G$49,MATCH(orders!$D929,products!$A$1:$A$49,0),MATCH(orders!K$1,products!$A$1:$G$1,0))</f>
        <v>2.5</v>
      </c>
      <c r="L929" s="5">
        <f>INDEX(products!$A$1:$G$49,MATCH(orders!$D929,products!$A$1:$A$49,0),MATCH(orders!L$1,products!$A$1:$G$1,0))</f>
        <v>27.945</v>
      </c>
      <c r="M929" s="4">
        <f t="shared" si="42"/>
        <v>111.78</v>
      </c>
      <c r="N929" t="str">
        <f t="shared" si="43"/>
        <v>Excelsa</v>
      </c>
      <c r="O929" t="str">
        <f t="shared" si="44"/>
        <v>Dark</v>
      </c>
      <c r="P929" t="str">
        <f>_xlfn.XLOOKUP(Table1[[#This Row],[Customer ID]],customers!$A$1:$A$1001,customers!$I$1:$I$1001,,0)</f>
        <v>No</v>
      </c>
    </row>
    <row r="930" spans="1:16" x14ac:dyDescent="0.3">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6">
        <f>INDEX(products!$A$1:$G$49,MATCH(orders!$D930,products!$A$1:$A$49,0),MATCH(orders!K$1,products!$A$1:$G$1,0))</f>
        <v>2.5</v>
      </c>
      <c r="L930" s="5">
        <f>INDEX(products!$A$1:$G$49,MATCH(orders!$D930,products!$A$1:$A$49,0),MATCH(orders!L$1,products!$A$1:$G$1,0))</f>
        <v>31.624999999999996</v>
      </c>
      <c r="M930" s="4">
        <f t="shared" si="42"/>
        <v>63.249999999999993</v>
      </c>
      <c r="N930" t="str">
        <f t="shared" si="43"/>
        <v>Excelsa</v>
      </c>
      <c r="O930" t="str">
        <f t="shared" si="44"/>
        <v>Medium</v>
      </c>
      <c r="P930" t="str">
        <f>_xlfn.XLOOKUP(Table1[[#This Row],[Customer ID]],customers!$A$1:$A$1001,customers!$I$1:$I$1001,,0)</f>
        <v>Yes</v>
      </c>
    </row>
    <row r="931" spans="1:16" x14ac:dyDescent="0.3">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6">
        <f>INDEX(products!$A$1:$G$49,MATCH(orders!$D931,products!$A$1:$A$49,0),MATCH(orders!K$1,products!$A$1:$G$1,0))</f>
        <v>0.2</v>
      </c>
      <c r="L931" s="5">
        <f>INDEX(products!$A$1:$G$49,MATCH(orders!$D931,products!$A$1:$A$49,0),MATCH(orders!L$1,products!$A$1:$G$1,0))</f>
        <v>4.4550000000000001</v>
      </c>
      <c r="M931" s="4">
        <f t="shared" si="42"/>
        <v>8.91</v>
      </c>
      <c r="N931" t="str">
        <f t="shared" si="43"/>
        <v>Excelsa</v>
      </c>
      <c r="O931" t="str">
        <f t="shared" si="44"/>
        <v>Light</v>
      </c>
      <c r="P931" t="str">
        <f>_xlfn.XLOOKUP(Table1[[#This Row],[Customer ID]],customers!$A$1:$A$1001,customers!$I$1:$I$1001,,0)</f>
        <v>Yes</v>
      </c>
    </row>
    <row r="932" spans="1:16" x14ac:dyDescent="0.3">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6">
        <f>INDEX(products!$A$1:$G$49,MATCH(orders!$D932,products!$A$1:$A$49,0),MATCH(orders!K$1,products!$A$1:$G$1,0))</f>
        <v>1</v>
      </c>
      <c r="L932" s="5">
        <f>INDEX(products!$A$1:$G$49,MATCH(orders!$D932,products!$A$1:$A$49,0),MATCH(orders!L$1,products!$A$1:$G$1,0))</f>
        <v>12.15</v>
      </c>
      <c r="M932" s="4">
        <f t="shared" si="42"/>
        <v>12.15</v>
      </c>
      <c r="N932" t="str">
        <f t="shared" si="43"/>
        <v>Excelsa</v>
      </c>
      <c r="O932" t="str">
        <f t="shared" si="44"/>
        <v>Dark</v>
      </c>
      <c r="P932" t="str">
        <f>_xlfn.XLOOKUP(Table1[[#This Row],[Customer ID]],customers!$A$1:$A$1001,customers!$I$1:$I$1001,,0)</f>
        <v>Yes</v>
      </c>
    </row>
    <row r="933" spans="1:16" x14ac:dyDescent="0.3">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6">
        <f>INDEX(products!$A$1:$G$49,MATCH(orders!$D933,products!$A$1:$A$49,0),MATCH(orders!K$1,products!$A$1:$G$1,0))</f>
        <v>0.5</v>
      </c>
      <c r="L933" s="5">
        <f>INDEX(products!$A$1:$G$49,MATCH(orders!$D933,products!$A$1:$A$49,0),MATCH(orders!L$1,products!$A$1:$G$1,0))</f>
        <v>5.97</v>
      </c>
      <c r="M933" s="4">
        <f t="shared" si="42"/>
        <v>23.88</v>
      </c>
      <c r="N933" t="str">
        <f t="shared" si="43"/>
        <v>Arabica</v>
      </c>
      <c r="O933" t="str">
        <f t="shared" si="44"/>
        <v>Dark</v>
      </c>
      <c r="P933" t="str">
        <f>_xlfn.XLOOKUP(Table1[[#This Row],[Customer ID]],customers!$A$1:$A$1001,customers!$I$1:$I$1001,,0)</f>
        <v>Yes</v>
      </c>
    </row>
    <row r="934" spans="1:16" x14ac:dyDescent="0.3">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6">
        <f>INDEX(products!$A$1:$G$49,MATCH(orders!$D934,products!$A$1:$A$49,0),MATCH(orders!K$1,products!$A$1:$G$1,0))</f>
        <v>1</v>
      </c>
      <c r="L934" s="5">
        <f>INDEX(products!$A$1:$G$49,MATCH(orders!$D934,products!$A$1:$A$49,0),MATCH(orders!L$1,products!$A$1:$G$1,0))</f>
        <v>13.75</v>
      </c>
      <c r="M934" s="4">
        <f t="shared" si="42"/>
        <v>55</v>
      </c>
      <c r="N934" t="str">
        <f t="shared" si="43"/>
        <v>Excelsa</v>
      </c>
      <c r="O934" t="str">
        <f t="shared" si="44"/>
        <v>Medium</v>
      </c>
      <c r="P934" t="str">
        <f>_xlfn.XLOOKUP(Table1[[#This Row],[Customer ID]],customers!$A$1:$A$1001,customers!$I$1:$I$1001,,0)</f>
        <v>No</v>
      </c>
    </row>
    <row r="935" spans="1:16" x14ac:dyDescent="0.3">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6">
        <f>INDEX(products!$A$1:$G$49,MATCH(orders!$D935,products!$A$1:$A$49,0),MATCH(orders!K$1,products!$A$1:$G$1,0))</f>
        <v>1</v>
      </c>
      <c r="L935" s="5">
        <f>INDEX(products!$A$1:$G$49,MATCH(orders!$D935,products!$A$1:$A$49,0),MATCH(orders!L$1,products!$A$1:$G$1,0))</f>
        <v>8.9499999999999993</v>
      </c>
      <c r="M935" s="4">
        <f t="shared" si="42"/>
        <v>26.849999999999998</v>
      </c>
      <c r="N935" t="str">
        <f t="shared" si="43"/>
        <v>Robusta</v>
      </c>
      <c r="O935" t="str">
        <f t="shared" si="44"/>
        <v>Dark</v>
      </c>
      <c r="P935" t="str">
        <f>_xlfn.XLOOKUP(Table1[[#This Row],[Customer ID]],customers!$A$1:$A$1001,customers!$I$1:$I$1001,,0)</f>
        <v>Yes</v>
      </c>
    </row>
    <row r="936" spans="1:16" x14ac:dyDescent="0.3">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6">
        <f>INDEX(products!$A$1:$G$49,MATCH(orders!$D936,products!$A$1:$A$49,0),MATCH(orders!K$1,products!$A$1:$G$1,0))</f>
        <v>2.5</v>
      </c>
      <c r="L936" s="5">
        <f>INDEX(products!$A$1:$G$49,MATCH(orders!$D936,products!$A$1:$A$49,0),MATCH(orders!L$1,products!$A$1:$G$1,0))</f>
        <v>22.884999999999998</v>
      </c>
      <c r="M936" s="4">
        <f t="shared" si="42"/>
        <v>114.42499999999998</v>
      </c>
      <c r="N936" t="str">
        <f t="shared" si="43"/>
        <v>Robusta</v>
      </c>
      <c r="O936" t="str">
        <f t="shared" si="44"/>
        <v>Medium</v>
      </c>
      <c r="P936" t="str">
        <f>_xlfn.XLOOKUP(Table1[[#This Row],[Customer ID]],customers!$A$1:$A$1001,customers!$I$1:$I$1001,,0)</f>
        <v>No</v>
      </c>
    </row>
    <row r="937" spans="1:16" x14ac:dyDescent="0.3">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6">
        <f>INDEX(products!$A$1:$G$49,MATCH(orders!$D937,products!$A$1:$A$49,0),MATCH(orders!K$1,products!$A$1:$G$1,0))</f>
        <v>2.5</v>
      </c>
      <c r="L937" s="5">
        <f>INDEX(products!$A$1:$G$49,MATCH(orders!$D937,products!$A$1:$A$49,0),MATCH(orders!L$1,products!$A$1:$G$1,0))</f>
        <v>25.874999999999996</v>
      </c>
      <c r="M937" s="4">
        <f t="shared" si="42"/>
        <v>155.24999999999997</v>
      </c>
      <c r="N937" t="str">
        <f t="shared" si="43"/>
        <v>Arabica</v>
      </c>
      <c r="O937" t="str">
        <f t="shared" si="44"/>
        <v>Medium</v>
      </c>
      <c r="P937" t="str">
        <f>_xlfn.XLOOKUP(Table1[[#This Row],[Customer ID]],customers!$A$1:$A$1001,customers!$I$1:$I$1001,,0)</f>
        <v>Yes</v>
      </c>
    </row>
    <row r="938" spans="1:16" x14ac:dyDescent="0.3">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6">
        <f>INDEX(products!$A$1:$G$49,MATCH(orders!$D938,products!$A$1:$A$49,0),MATCH(orders!K$1,products!$A$1:$G$1,0))</f>
        <v>0.5</v>
      </c>
      <c r="L938" s="5">
        <f>INDEX(products!$A$1:$G$49,MATCH(orders!$D938,products!$A$1:$A$49,0),MATCH(orders!L$1,products!$A$1:$G$1,0))</f>
        <v>7.77</v>
      </c>
      <c r="M938" s="4">
        <f t="shared" si="42"/>
        <v>23.31</v>
      </c>
      <c r="N938" t="str">
        <f t="shared" si="43"/>
        <v>Librica</v>
      </c>
      <c r="O938" t="str">
        <f t="shared" si="44"/>
        <v>Dark</v>
      </c>
      <c r="P938" t="str">
        <f>_xlfn.XLOOKUP(Table1[[#This Row],[Customer ID]],customers!$A$1:$A$1001,customers!$I$1:$I$1001,,0)</f>
        <v>Yes</v>
      </c>
    </row>
    <row r="939" spans="1:16" x14ac:dyDescent="0.3">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6">
        <f>INDEX(products!$A$1:$G$49,MATCH(orders!$D939,products!$A$1:$A$49,0),MATCH(orders!K$1,products!$A$1:$G$1,0))</f>
        <v>2.5</v>
      </c>
      <c r="L939" s="5">
        <f>INDEX(products!$A$1:$G$49,MATCH(orders!$D939,products!$A$1:$A$49,0),MATCH(orders!L$1,products!$A$1:$G$1,0))</f>
        <v>22.884999999999998</v>
      </c>
      <c r="M939" s="4">
        <f t="shared" si="42"/>
        <v>91.539999999999992</v>
      </c>
      <c r="N939" t="str">
        <f t="shared" si="43"/>
        <v>Robusta</v>
      </c>
      <c r="O939" t="str">
        <f t="shared" si="44"/>
        <v>Medium</v>
      </c>
      <c r="P939" t="str">
        <f>_xlfn.XLOOKUP(Table1[[#This Row],[Customer ID]],customers!$A$1:$A$1001,customers!$I$1:$I$1001,,0)</f>
        <v>Yes</v>
      </c>
    </row>
    <row r="940" spans="1:16" x14ac:dyDescent="0.3">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6">
        <f>INDEX(products!$A$1:$G$49,MATCH(orders!$D940,products!$A$1:$A$49,0),MATCH(orders!K$1,products!$A$1:$G$1,0))</f>
        <v>1</v>
      </c>
      <c r="L940" s="5">
        <f>INDEX(products!$A$1:$G$49,MATCH(orders!$D940,products!$A$1:$A$49,0),MATCH(orders!L$1,products!$A$1:$G$1,0))</f>
        <v>14.85</v>
      </c>
      <c r="M940" s="4">
        <f t="shared" si="42"/>
        <v>74.25</v>
      </c>
      <c r="N940" t="str">
        <f t="shared" si="43"/>
        <v>Excelsa</v>
      </c>
      <c r="O940" t="str">
        <f t="shared" si="44"/>
        <v>Light</v>
      </c>
      <c r="P940" t="str">
        <f>_xlfn.XLOOKUP(Table1[[#This Row],[Customer ID]],customers!$A$1:$A$1001,customers!$I$1:$I$1001,,0)</f>
        <v>Yes</v>
      </c>
    </row>
    <row r="941" spans="1:16" x14ac:dyDescent="0.3">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6">
        <f>INDEX(products!$A$1:$G$49,MATCH(orders!$D941,products!$A$1:$A$49,0),MATCH(orders!K$1,products!$A$1:$G$1,0))</f>
        <v>0.2</v>
      </c>
      <c r="L941" s="5">
        <f>INDEX(products!$A$1:$G$49,MATCH(orders!$D941,products!$A$1:$A$49,0),MATCH(orders!L$1,products!$A$1:$G$1,0))</f>
        <v>4.7549999999999999</v>
      </c>
      <c r="M941" s="4">
        <f t="shared" si="42"/>
        <v>28.53</v>
      </c>
      <c r="N941" t="str">
        <f t="shared" si="43"/>
        <v>Librica</v>
      </c>
      <c r="O941" t="str">
        <f t="shared" si="44"/>
        <v>Light</v>
      </c>
      <c r="P941" t="str">
        <f>_xlfn.XLOOKUP(Table1[[#This Row],[Customer ID]],customers!$A$1:$A$1001,customers!$I$1:$I$1001,,0)</f>
        <v>No</v>
      </c>
    </row>
    <row r="942" spans="1:16" x14ac:dyDescent="0.3">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6">
        <f>INDEX(products!$A$1:$G$49,MATCH(orders!$D942,products!$A$1:$A$49,0),MATCH(orders!K$1,products!$A$1:$G$1,0))</f>
        <v>0.5</v>
      </c>
      <c r="L942" s="5">
        <f>INDEX(products!$A$1:$G$49,MATCH(orders!$D942,products!$A$1:$A$49,0),MATCH(orders!L$1,products!$A$1:$G$1,0))</f>
        <v>7.169999999999999</v>
      </c>
      <c r="M942" s="4">
        <f t="shared" si="42"/>
        <v>14.339999999999998</v>
      </c>
      <c r="N942" t="str">
        <f t="shared" si="43"/>
        <v>Robusta</v>
      </c>
      <c r="O942" t="str">
        <f t="shared" si="44"/>
        <v>Light</v>
      </c>
      <c r="P942" t="str">
        <f>_xlfn.XLOOKUP(Table1[[#This Row],[Customer ID]],customers!$A$1:$A$1001,customers!$I$1:$I$1001,,0)</f>
        <v>Yes</v>
      </c>
    </row>
    <row r="943" spans="1:16" x14ac:dyDescent="0.3">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6">
        <f>INDEX(products!$A$1:$G$49,MATCH(orders!$D943,products!$A$1:$A$49,0),MATCH(orders!K$1,products!$A$1:$G$1,0))</f>
        <v>0.5</v>
      </c>
      <c r="L943" s="5">
        <f>INDEX(products!$A$1:$G$49,MATCH(orders!$D943,products!$A$1:$A$49,0),MATCH(orders!L$1,products!$A$1:$G$1,0))</f>
        <v>7.77</v>
      </c>
      <c r="M943" s="4">
        <f t="shared" si="42"/>
        <v>15.54</v>
      </c>
      <c r="N943" t="str">
        <f t="shared" si="43"/>
        <v>Arabica</v>
      </c>
      <c r="O943" t="str">
        <f t="shared" si="44"/>
        <v>Light</v>
      </c>
      <c r="P943" t="str">
        <f>_xlfn.XLOOKUP(Table1[[#This Row],[Customer ID]],customers!$A$1:$A$1001,customers!$I$1:$I$1001,,0)</f>
        <v>Yes</v>
      </c>
    </row>
    <row r="944" spans="1:16" x14ac:dyDescent="0.3">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6">
        <f>INDEX(products!$A$1:$G$49,MATCH(orders!$D944,products!$A$1:$A$49,0),MATCH(orders!K$1,products!$A$1:$G$1,0))</f>
        <v>1</v>
      </c>
      <c r="L944" s="5">
        <f>INDEX(products!$A$1:$G$49,MATCH(orders!$D944,products!$A$1:$A$49,0),MATCH(orders!L$1,products!$A$1:$G$1,0))</f>
        <v>11.95</v>
      </c>
      <c r="M944" s="4">
        <f t="shared" si="42"/>
        <v>35.849999999999994</v>
      </c>
      <c r="N944" t="str">
        <f t="shared" si="43"/>
        <v>Robusta</v>
      </c>
      <c r="O944" t="str">
        <f t="shared" si="44"/>
        <v>Light</v>
      </c>
      <c r="P944" t="str">
        <f>_xlfn.XLOOKUP(Table1[[#This Row],[Customer ID]],customers!$A$1:$A$1001,customers!$I$1:$I$1001,,0)</f>
        <v>No</v>
      </c>
    </row>
    <row r="945" spans="1:16" x14ac:dyDescent="0.3">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6">
        <f>INDEX(products!$A$1:$G$49,MATCH(orders!$D945,products!$A$1:$A$49,0),MATCH(orders!K$1,products!$A$1:$G$1,0))</f>
        <v>0.5</v>
      </c>
      <c r="L945" s="5">
        <f>INDEX(products!$A$1:$G$49,MATCH(orders!$D945,products!$A$1:$A$49,0),MATCH(orders!L$1,products!$A$1:$G$1,0))</f>
        <v>7.77</v>
      </c>
      <c r="M945" s="4">
        <f t="shared" si="42"/>
        <v>46.62</v>
      </c>
      <c r="N945" t="str">
        <f t="shared" si="43"/>
        <v>Arabica</v>
      </c>
      <c r="O945" t="str">
        <f t="shared" si="44"/>
        <v>Light</v>
      </c>
      <c r="P945" t="str">
        <f>_xlfn.XLOOKUP(Table1[[#This Row],[Customer ID]],customers!$A$1:$A$1001,customers!$I$1:$I$1001,,0)</f>
        <v>No</v>
      </c>
    </row>
    <row r="946" spans="1:16" x14ac:dyDescent="0.3">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6">
        <f>INDEX(products!$A$1:$G$49,MATCH(orders!$D946,products!$A$1:$A$49,0),MATCH(orders!K$1,products!$A$1:$G$1,0))</f>
        <v>0.5</v>
      </c>
      <c r="L946" s="5">
        <f>INDEX(products!$A$1:$G$49,MATCH(orders!$D946,products!$A$1:$A$49,0),MATCH(orders!L$1,products!$A$1:$G$1,0))</f>
        <v>7.169999999999999</v>
      </c>
      <c r="M946" s="4">
        <f t="shared" si="42"/>
        <v>35.849999999999994</v>
      </c>
      <c r="N946" t="str">
        <f t="shared" si="43"/>
        <v>Robusta</v>
      </c>
      <c r="O946" t="str">
        <f t="shared" si="44"/>
        <v>Light</v>
      </c>
      <c r="P946" t="str">
        <f>_xlfn.XLOOKUP(Table1[[#This Row],[Customer ID]],customers!$A$1:$A$1001,customers!$I$1:$I$1001,,0)</f>
        <v>No</v>
      </c>
    </row>
    <row r="947" spans="1:16" x14ac:dyDescent="0.3">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6">
        <f>INDEX(products!$A$1:$G$49,MATCH(orders!$D947,products!$A$1:$A$49,0),MATCH(orders!K$1,products!$A$1:$G$1,0))</f>
        <v>2.5</v>
      </c>
      <c r="L947" s="5">
        <f>INDEX(products!$A$1:$G$49,MATCH(orders!$D947,products!$A$1:$A$49,0),MATCH(orders!L$1,products!$A$1:$G$1,0))</f>
        <v>29.784999999999997</v>
      </c>
      <c r="M947" s="4">
        <f t="shared" si="42"/>
        <v>119.13999999999999</v>
      </c>
      <c r="N947" t="str">
        <f t="shared" si="43"/>
        <v>Librica</v>
      </c>
      <c r="O947" t="str">
        <f t="shared" si="44"/>
        <v>Dark</v>
      </c>
      <c r="P947" t="str">
        <f>_xlfn.XLOOKUP(Table1[[#This Row],[Customer ID]],customers!$A$1:$A$1001,customers!$I$1:$I$1001,,0)</f>
        <v>No</v>
      </c>
    </row>
    <row r="948" spans="1:16" x14ac:dyDescent="0.3">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6">
        <f>INDEX(products!$A$1:$G$49,MATCH(orders!$D948,products!$A$1:$A$49,0),MATCH(orders!K$1,products!$A$1:$G$1,0))</f>
        <v>0.5</v>
      </c>
      <c r="L948" s="5">
        <f>INDEX(products!$A$1:$G$49,MATCH(orders!$D948,products!$A$1:$A$49,0),MATCH(orders!L$1,products!$A$1:$G$1,0))</f>
        <v>7.77</v>
      </c>
      <c r="M948" s="4">
        <f t="shared" si="42"/>
        <v>23.31</v>
      </c>
      <c r="N948" t="str">
        <f t="shared" si="43"/>
        <v>Librica</v>
      </c>
      <c r="O948" t="str">
        <f t="shared" si="44"/>
        <v>Dark</v>
      </c>
      <c r="P948" t="str">
        <f>_xlfn.XLOOKUP(Table1[[#This Row],[Customer ID]],customers!$A$1:$A$1001,customers!$I$1:$I$1001,,0)</f>
        <v>No</v>
      </c>
    </row>
    <row r="949" spans="1:16" x14ac:dyDescent="0.3">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6">
        <f>INDEX(products!$A$1:$G$49,MATCH(orders!$D949,products!$A$1:$A$49,0),MATCH(orders!K$1,products!$A$1:$G$1,0))</f>
        <v>1</v>
      </c>
      <c r="L949" s="5">
        <f>INDEX(products!$A$1:$G$49,MATCH(orders!$D949,products!$A$1:$A$49,0),MATCH(orders!L$1,products!$A$1:$G$1,0))</f>
        <v>11.25</v>
      </c>
      <c r="M949" s="4">
        <f t="shared" si="42"/>
        <v>11.25</v>
      </c>
      <c r="N949" t="str">
        <f t="shared" si="43"/>
        <v>Arabica</v>
      </c>
      <c r="O949" t="str">
        <f t="shared" si="44"/>
        <v>Medium</v>
      </c>
      <c r="P949" t="str">
        <f>_xlfn.XLOOKUP(Table1[[#This Row],[Customer ID]],customers!$A$1:$A$1001,customers!$I$1:$I$1001,,0)</f>
        <v>No</v>
      </c>
    </row>
    <row r="950" spans="1:16" x14ac:dyDescent="0.3">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6">
        <f>INDEX(products!$A$1:$G$49,MATCH(orders!$D950,products!$A$1:$A$49,0),MATCH(orders!K$1,products!$A$1:$G$1,0))</f>
        <v>2.5</v>
      </c>
      <c r="L950" s="5">
        <f>INDEX(products!$A$1:$G$49,MATCH(orders!$D950,products!$A$1:$A$49,0),MATCH(orders!L$1,products!$A$1:$G$1,0))</f>
        <v>27.945</v>
      </c>
      <c r="M950" s="4">
        <f t="shared" si="42"/>
        <v>83.835000000000008</v>
      </c>
      <c r="N950" t="str">
        <f t="shared" si="43"/>
        <v>Excelsa</v>
      </c>
      <c r="O950" t="str">
        <f t="shared" si="44"/>
        <v>Dark</v>
      </c>
      <c r="P950" t="str">
        <f>_xlfn.XLOOKUP(Table1[[#This Row],[Customer ID]],customers!$A$1:$A$1001,customers!$I$1:$I$1001,,0)</f>
        <v>Yes</v>
      </c>
    </row>
    <row r="951" spans="1:16" x14ac:dyDescent="0.3">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6">
        <f>INDEX(products!$A$1:$G$49,MATCH(orders!$D951,products!$A$1:$A$49,0),MATCH(orders!K$1,products!$A$1:$G$1,0))</f>
        <v>2.5</v>
      </c>
      <c r="L951" s="5">
        <f>INDEX(products!$A$1:$G$49,MATCH(orders!$D951,products!$A$1:$A$49,0),MATCH(orders!L$1,products!$A$1:$G$1,0))</f>
        <v>27.484999999999996</v>
      </c>
      <c r="M951" s="4">
        <f t="shared" si="42"/>
        <v>109.93999999999998</v>
      </c>
      <c r="N951" t="str">
        <f t="shared" si="43"/>
        <v>Robusta</v>
      </c>
      <c r="O951" t="str">
        <f t="shared" si="44"/>
        <v>Light</v>
      </c>
      <c r="P951" t="str">
        <f>_xlfn.XLOOKUP(Table1[[#This Row],[Customer ID]],customers!$A$1:$A$1001,customers!$I$1:$I$1001,,0)</f>
        <v>No</v>
      </c>
    </row>
    <row r="952" spans="1:16" x14ac:dyDescent="0.3">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6">
        <f>INDEX(products!$A$1:$G$49,MATCH(orders!$D952,products!$A$1:$A$49,0),MATCH(orders!K$1,products!$A$1:$G$1,0))</f>
        <v>0.2</v>
      </c>
      <c r="L952" s="5">
        <f>INDEX(products!$A$1:$G$49,MATCH(orders!$D952,products!$A$1:$A$49,0),MATCH(orders!L$1,products!$A$1:$G$1,0))</f>
        <v>3.5849999999999995</v>
      </c>
      <c r="M952" s="4">
        <f t="shared" si="42"/>
        <v>14.339999999999998</v>
      </c>
      <c r="N952" t="str">
        <f t="shared" si="43"/>
        <v>Robusta</v>
      </c>
      <c r="O952" t="str">
        <f t="shared" si="44"/>
        <v>Light</v>
      </c>
      <c r="P952" t="str">
        <f>_xlfn.XLOOKUP(Table1[[#This Row],[Customer ID]],customers!$A$1:$A$1001,customers!$I$1:$I$1001,,0)</f>
        <v>Yes</v>
      </c>
    </row>
    <row r="953" spans="1:16" x14ac:dyDescent="0.3">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6">
        <f>INDEX(products!$A$1:$G$49,MATCH(orders!$D953,products!$A$1:$A$49,0),MATCH(orders!K$1,products!$A$1:$G$1,0))</f>
        <v>0.2</v>
      </c>
      <c r="L953" s="5">
        <f>INDEX(products!$A$1:$G$49,MATCH(orders!$D953,products!$A$1:$A$49,0),MATCH(orders!L$1,products!$A$1:$G$1,0))</f>
        <v>3.5849999999999995</v>
      </c>
      <c r="M953" s="4">
        <f t="shared" si="42"/>
        <v>21.509999999999998</v>
      </c>
      <c r="N953" t="str">
        <f t="shared" si="43"/>
        <v>Robusta</v>
      </c>
      <c r="O953" t="str">
        <f t="shared" si="44"/>
        <v>Light</v>
      </c>
      <c r="P953" t="str">
        <f>_xlfn.XLOOKUP(Table1[[#This Row],[Customer ID]],customers!$A$1:$A$1001,customers!$I$1:$I$1001,,0)</f>
        <v>No</v>
      </c>
    </row>
    <row r="954" spans="1:16" x14ac:dyDescent="0.3">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6">
        <f>INDEX(products!$A$1:$G$49,MATCH(orders!$D954,products!$A$1:$A$49,0),MATCH(orders!K$1,products!$A$1:$G$1,0))</f>
        <v>1</v>
      </c>
      <c r="L954" s="5">
        <f>INDEX(products!$A$1:$G$49,MATCH(orders!$D954,products!$A$1:$A$49,0),MATCH(orders!L$1,products!$A$1:$G$1,0))</f>
        <v>11.25</v>
      </c>
      <c r="M954" s="4">
        <f t="shared" si="42"/>
        <v>22.5</v>
      </c>
      <c r="N954" t="str">
        <f t="shared" si="43"/>
        <v>Arabica</v>
      </c>
      <c r="O954" t="str">
        <f t="shared" si="44"/>
        <v>Medium</v>
      </c>
      <c r="P954" t="str">
        <f>_xlfn.XLOOKUP(Table1[[#This Row],[Customer ID]],customers!$A$1:$A$1001,customers!$I$1:$I$1001,,0)</f>
        <v>Yes</v>
      </c>
    </row>
    <row r="955" spans="1:16" x14ac:dyDescent="0.3">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6">
        <f>INDEX(products!$A$1:$G$49,MATCH(orders!$D955,products!$A$1:$A$49,0),MATCH(orders!K$1,products!$A$1:$G$1,0))</f>
        <v>0.2</v>
      </c>
      <c r="L955" s="5">
        <f>INDEX(products!$A$1:$G$49,MATCH(orders!$D955,products!$A$1:$A$49,0),MATCH(orders!L$1,products!$A$1:$G$1,0))</f>
        <v>3.8849999999999998</v>
      </c>
      <c r="M955" s="4">
        <f t="shared" si="42"/>
        <v>3.8849999999999998</v>
      </c>
      <c r="N955" t="str">
        <f t="shared" si="43"/>
        <v>Arabica</v>
      </c>
      <c r="O955" t="str">
        <f t="shared" si="44"/>
        <v>Light</v>
      </c>
      <c r="P955" t="str">
        <f>_xlfn.XLOOKUP(Table1[[#This Row],[Customer ID]],customers!$A$1:$A$1001,customers!$I$1:$I$1001,,0)</f>
        <v>Yes</v>
      </c>
    </row>
    <row r="956" spans="1:16" x14ac:dyDescent="0.3">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6">
        <f>INDEX(products!$A$1:$G$49,MATCH(orders!$D956,products!$A$1:$A$49,0),MATCH(orders!K$1,products!$A$1:$G$1,0))</f>
        <v>2.5</v>
      </c>
      <c r="L956" s="5">
        <f>INDEX(products!$A$1:$G$49,MATCH(orders!$D956,products!$A$1:$A$49,0),MATCH(orders!L$1,products!$A$1:$G$1,0))</f>
        <v>27.945</v>
      </c>
      <c r="M956" s="4">
        <f t="shared" si="42"/>
        <v>27.945</v>
      </c>
      <c r="N956" t="str">
        <f t="shared" si="43"/>
        <v>Excelsa</v>
      </c>
      <c r="O956" t="str">
        <f t="shared" si="44"/>
        <v>Dark</v>
      </c>
      <c r="P956" t="str">
        <f>_xlfn.XLOOKUP(Table1[[#This Row],[Customer ID]],customers!$A$1:$A$1001,customers!$I$1:$I$1001,,0)</f>
        <v>Yes</v>
      </c>
    </row>
    <row r="957" spans="1:16" x14ac:dyDescent="0.3">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6">
        <f>INDEX(products!$A$1:$G$49,MATCH(orders!$D957,products!$A$1:$A$49,0),MATCH(orders!K$1,products!$A$1:$G$1,0))</f>
        <v>2.5</v>
      </c>
      <c r="L957" s="5">
        <f>INDEX(products!$A$1:$G$49,MATCH(orders!$D957,products!$A$1:$A$49,0),MATCH(orders!L$1,products!$A$1:$G$1,0))</f>
        <v>34.154999999999994</v>
      </c>
      <c r="M957" s="4">
        <f t="shared" si="42"/>
        <v>170.77499999999998</v>
      </c>
      <c r="N957" t="str">
        <f t="shared" si="43"/>
        <v>Excelsa</v>
      </c>
      <c r="O957" t="str">
        <f t="shared" si="44"/>
        <v>Light</v>
      </c>
      <c r="P957" t="str">
        <f>_xlfn.XLOOKUP(Table1[[#This Row],[Customer ID]],customers!$A$1:$A$1001,customers!$I$1:$I$1001,,0)</f>
        <v>Yes</v>
      </c>
    </row>
    <row r="958" spans="1:16" x14ac:dyDescent="0.3">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6">
        <f>INDEX(products!$A$1:$G$49,MATCH(orders!$D958,products!$A$1:$A$49,0),MATCH(orders!K$1,products!$A$1:$G$1,0))</f>
        <v>2.5</v>
      </c>
      <c r="L958" s="5">
        <f>INDEX(products!$A$1:$G$49,MATCH(orders!$D958,products!$A$1:$A$49,0),MATCH(orders!L$1,products!$A$1:$G$1,0))</f>
        <v>27.484999999999996</v>
      </c>
      <c r="M958" s="4">
        <f t="shared" si="42"/>
        <v>54.969999999999992</v>
      </c>
      <c r="N958" t="str">
        <f t="shared" si="43"/>
        <v>Robusta</v>
      </c>
      <c r="O958" t="str">
        <f t="shared" si="44"/>
        <v>Light</v>
      </c>
      <c r="P958" t="str">
        <f>_xlfn.XLOOKUP(Table1[[#This Row],[Customer ID]],customers!$A$1:$A$1001,customers!$I$1:$I$1001,,0)</f>
        <v>Yes</v>
      </c>
    </row>
    <row r="959" spans="1:16" x14ac:dyDescent="0.3">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6">
        <f>INDEX(products!$A$1:$G$49,MATCH(orders!$D959,products!$A$1:$A$49,0),MATCH(orders!K$1,products!$A$1:$G$1,0))</f>
        <v>1</v>
      </c>
      <c r="L959" s="5">
        <f>INDEX(products!$A$1:$G$49,MATCH(orders!$D959,products!$A$1:$A$49,0),MATCH(orders!L$1,products!$A$1:$G$1,0))</f>
        <v>14.85</v>
      </c>
      <c r="M959" s="4">
        <f t="shared" si="42"/>
        <v>14.85</v>
      </c>
      <c r="N959" t="str">
        <f t="shared" si="43"/>
        <v>Excelsa</v>
      </c>
      <c r="O959" t="str">
        <f t="shared" si="44"/>
        <v>Light</v>
      </c>
      <c r="P959" t="str">
        <f>_xlfn.XLOOKUP(Table1[[#This Row],[Customer ID]],customers!$A$1:$A$1001,customers!$I$1:$I$1001,,0)</f>
        <v>Yes</v>
      </c>
    </row>
    <row r="960" spans="1:16" x14ac:dyDescent="0.3">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6">
        <f>INDEX(products!$A$1:$G$49,MATCH(orders!$D960,products!$A$1:$A$49,0),MATCH(orders!K$1,products!$A$1:$G$1,0))</f>
        <v>0.2</v>
      </c>
      <c r="L960" s="5">
        <f>INDEX(products!$A$1:$G$49,MATCH(orders!$D960,products!$A$1:$A$49,0),MATCH(orders!L$1,products!$A$1:$G$1,0))</f>
        <v>3.8849999999999998</v>
      </c>
      <c r="M960" s="4">
        <f t="shared" si="42"/>
        <v>7.77</v>
      </c>
      <c r="N960" t="str">
        <f t="shared" si="43"/>
        <v>Arabica</v>
      </c>
      <c r="O960" t="str">
        <f t="shared" si="44"/>
        <v>Light</v>
      </c>
      <c r="P960" t="str">
        <f>_xlfn.XLOOKUP(Table1[[#This Row],[Customer ID]],customers!$A$1:$A$1001,customers!$I$1:$I$1001,,0)</f>
        <v>Yes</v>
      </c>
    </row>
    <row r="961" spans="1:16" x14ac:dyDescent="0.3">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6">
        <f>INDEX(products!$A$1:$G$49,MATCH(orders!$D961,products!$A$1:$A$49,0),MATCH(orders!K$1,products!$A$1:$G$1,0))</f>
        <v>0.2</v>
      </c>
      <c r="L961" s="5">
        <f>INDEX(products!$A$1:$G$49,MATCH(orders!$D961,products!$A$1:$A$49,0),MATCH(orders!L$1,products!$A$1:$G$1,0))</f>
        <v>4.7549999999999999</v>
      </c>
      <c r="M961" s="4">
        <f t="shared" si="42"/>
        <v>23.774999999999999</v>
      </c>
      <c r="N961" t="str">
        <f t="shared" si="43"/>
        <v>Librica</v>
      </c>
      <c r="O961" t="str">
        <f t="shared" si="44"/>
        <v>Light</v>
      </c>
      <c r="P961" t="str">
        <f>_xlfn.XLOOKUP(Table1[[#This Row],[Customer ID]],customers!$A$1:$A$1001,customers!$I$1:$I$1001,,0)</f>
        <v>Yes</v>
      </c>
    </row>
    <row r="962" spans="1:16" x14ac:dyDescent="0.3">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6">
        <f>INDEX(products!$A$1:$G$49,MATCH(orders!$D962,products!$A$1:$A$49,0),MATCH(orders!K$1,products!$A$1:$G$1,0))</f>
        <v>1</v>
      </c>
      <c r="L962" s="5">
        <f>INDEX(products!$A$1:$G$49,MATCH(orders!$D962,products!$A$1:$A$49,0),MATCH(orders!L$1,products!$A$1:$G$1,0))</f>
        <v>15.85</v>
      </c>
      <c r="M962" s="4">
        <f t="shared" si="42"/>
        <v>79.25</v>
      </c>
      <c r="N962" t="str">
        <f t="shared" si="43"/>
        <v>Librica</v>
      </c>
      <c r="O962" t="str">
        <f t="shared" si="44"/>
        <v>Light</v>
      </c>
      <c r="P962" t="str">
        <f>_xlfn.XLOOKUP(Table1[[#This Row],[Customer ID]],customers!$A$1:$A$1001,customers!$I$1:$I$1001,,0)</f>
        <v>Yes</v>
      </c>
    </row>
    <row r="963" spans="1:16" x14ac:dyDescent="0.3">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6">
        <f>INDEX(products!$A$1:$G$49,MATCH(orders!$D963,products!$A$1:$A$49,0),MATCH(orders!K$1,products!$A$1:$G$1,0))</f>
        <v>2.5</v>
      </c>
      <c r="L963" s="5">
        <f>INDEX(products!$A$1:$G$49,MATCH(orders!$D963,products!$A$1:$A$49,0),MATCH(orders!L$1,products!$A$1:$G$1,0))</f>
        <v>22.884999999999998</v>
      </c>
      <c r="M963" s="4">
        <f t="shared" ref="M963:M1001" si="45">L963*E963</f>
        <v>45.769999999999996</v>
      </c>
      <c r="N963" t="str">
        <f t="shared" ref="N963:N1001" si="46">IF(I963="Rob","Robusta",IF(I963="Exc","Excelsa",IF(I963="Ara","Arabica",IF(I963="Lib","Librica",""))))</f>
        <v>Arabica</v>
      </c>
      <c r="O963" t="str">
        <f t="shared" ref="O963:O1001" si="47">IF(J963="M","Medium",IF(J963="L","Light",IF(J963="D","Dark","")))</f>
        <v>Dark</v>
      </c>
      <c r="P963" t="str">
        <f>_xlfn.XLOOKUP(Table1[[#This Row],[Customer ID]],customers!$A$1:$A$1001,customers!$I$1:$I$1001,,0)</f>
        <v>Yes</v>
      </c>
    </row>
    <row r="964" spans="1:16" x14ac:dyDescent="0.3">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6">
        <f>INDEX(products!$A$1:$G$49,MATCH(orders!$D964,products!$A$1:$A$49,0),MATCH(orders!K$1,products!$A$1:$G$1,0))</f>
        <v>1</v>
      </c>
      <c r="L964" s="5">
        <f>INDEX(products!$A$1:$G$49,MATCH(orders!$D964,products!$A$1:$A$49,0),MATCH(orders!L$1,products!$A$1:$G$1,0))</f>
        <v>8.9499999999999993</v>
      </c>
      <c r="M964" s="4">
        <f t="shared" si="45"/>
        <v>8.9499999999999993</v>
      </c>
      <c r="N964" t="str">
        <f t="shared" si="46"/>
        <v>Robusta</v>
      </c>
      <c r="O964" t="str">
        <f t="shared" si="47"/>
        <v>Dark</v>
      </c>
      <c r="P964" t="str">
        <f>_xlfn.XLOOKUP(Table1[[#This Row],[Customer ID]],customers!$A$1:$A$1001,customers!$I$1:$I$1001,,0)</f>
        <v>Yes</v>
      </c>
    </row>
    <row r="965" spans="1:16" x14ac:dyDescent="0.3">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6">
        <f>INDEX(products!$A$1:$G$49,MATCH(orders!$D965,products!$A$1:$A$49,0),MATCH(orders!K$1,products!$A$1:$G$1,0))</f>
        <v>0.5</v>
      </c>
      <c r="L965" s="5">
        <f>INDEX(products!$A$1:$G$49,MATCH(orders!$D965,products!$A$1:$A$49,0),MATCH(orders!L$1,products!$A$1:$G$1,0))</f>
        <v>5.97</v>
      </c>
      <c r="M965" s="4">
        <f t="shared" si="45"/>
        <v>23.88</v>
      </c>
      <c r="N965" t="str">
        <f t="shared" si="46"/>
        <v>Robusta</v>
      </c>
      <c r="O965" t="str">
        <f t="shared" si="47"/>
        <v>Medium</v>
      </c>
      <c r="P965" t="str">
        <f>_xlfn.XLOOKUP(Table1[[#This Row],[Customer ID]],customers!$A$1:$A$1001,customers!$I$1:$I$1001,,0)</f>
        <v>Yes</v>
      </c>
    </row>
    <row r="966" spans="1:16" x14ac:dyDescent="0.3">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6">
        <f>INDEX(products!$A$1:$G$49,MATCH(orders!$D966,products!$A$1:$A$49,0),MATCH(orders!K$1,products!$A$1:$G$1,0))</f>
        <v>0.2</v>
      </c>
      <c r="L966" s="5">
        <f>INDEX(products!$A$1:$G$49,MATCH(orders!$D966,products!$A$1:$A$49,0),MATCH(orders!L$1,products!$A$1:$G$1,0))</f>
        <v>4.4550000000000001</v>
      </c>
      <c r="M966" s="4">
        <f t="shared" si="45"/>
        <v>22.274999999999999</v>
      </c>
      <c r="N966" t="str">
        <f t="shared" si="46"/>
        <v>Excelsa</v>
      </c>
      <c r="O966" t="str">
        <f t="shared" si="47"/>
        <v>Light</v>
      </c>
      <c r="P966" t="str">
        <f>_xlfn.XLOOKUP(Table1[[#This Row],[Customer ID]],customers!$A$1:$A$1001,customers!$I$1:$I$1001,,0)</f>
        <v>No</v>
      </c>
    </row>
    <row r="967" spans="1:16" x14ac:dyDescent="0.3">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6">
        <f>INDEX(products!$A$1:$G$49,MATCH(orders!$D967,products!$A$1:$A$49,0),MATCH(orders!K$1,products!$A$1:$G$1,0))</f>
        <v>1</v>
      </c>
      <c r="L967" s="5">
        <f>INDEX(products!$A$1:$G$49,MATCH(orders!$D967,products!$A$1:$A$49,0),MATCH(orders!L$1,products!$A$1:$G$1,0))</f>
        <v>9.9499999999999993</v>
      </c>
      <c r="M967" s="4">
        <f t="shared" si="45"/>
        <v>29.849999999999998</v>
      </c>
      <c r="N967" t="str">
        <f t="shared" si="46"/>
        <v>Robusta</v>
      </c>
      <c r="O967" t="str">
        <f t="shared" si="47"/>
        <v>Medium</v>
      </c>
      <c r="P967" t="str">
        <f>_xlfn.XLOOKUP(Table1[[#This Row],[Customer ID]],customers!$A$1:$A$1001,customers!$I$1:$I$1001,,0)</f>
        <v>Yes</v>
      </c>
    </row>
    <row r="968" spans="1:16" x14ac:dyDescent="0.3">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6">
        <f>INDEX(products!$A$1:$G$49,MATCH(orders!$D968,products!$A$1:$A$49,0),MATCH(orders!K$1,products!$A$1:$G$1,0))</f>
        <v>0.5</v>
      </c>
      <c r="L968" s="5">
        <f>INDEX(products!$A$1:$G$49,MATCH(orders!$D968,products!$A$1:$A$49,0),MATCH(orders!L$1,products!$A$1:$G$1,0))</f>
        <v>8.91</v>
      </c>
      <c r="M968" s="4">
        <f t="shared" si="45"/>
        <v>53.46</v>
      </c>
      <c r="N968" t="str">
        <f t="shared" si="46"/>
        <v>Excelsa</v>
      </c>
      <c r="O968" t="str">
        <f t="shared" si="47"/>
        <v>Light</v>
      </c>
      <c r="P968" t="str">
        <f>_xlfn.XLOOKUP(Table1[[#This Row],[Customer ID]],customers!$A$1:$A$1001,customers!$I$1:$I$1001,,0)</f>
        <v>Yes</v>
      </c>
    </row>
    <row r="969" spans="1:16" x14ac:dyDescent="0.3">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6">
        <f>INDEX(products!$A$1:$G$49,MATCH(orders!$D969,products!$A$1:$A$49,0),MATCH(orders!K$1,products!$A$1:$G$1,0))</f>
        <v>0.2</v>
      </c>
      <c r="L969" s="5">
        <f>INDEX(products!$A$1:$G$49,MATCH(orders!$D969,products!$A$1:$A$49,0),MATCH(orders!L$1,products!$A$1:$G$1,0))</f>
        <v>2.6849999999999996</v>
      </c>
      <c r="M969" s="4">
        <f t="shared" si="45"/>
        <v>2.6849999999999996</v>
      </c>
      <c r="N969" t="str">
        <f t="shared" si="46"/>
        <v>Robusta</v>
      </c>
      <c r="O969" t="str">
        <f t="shared" si="47"/>
        <v>Dark</v>
      </c>
      <c r="P969" t="str">
        <f>_xlfn.XLOOKUP(Table1[[#This Row],[Customer ID]],customers!$A$1:$A$1001,customers!$I$1:$I$1001,,0)</f>
        <v>Yes</v>
      </c>
    </row>
    <row r="970" spans="1:16" x14ac:dyDescent="0.3">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6">
        <f>INDEX(products!$A$1:$G$49,MATCH(orders!$D970,products!$A$1:$A$49,0),MATCH(orders!K$1,products!$A$1:$G$1,0))</f>
        <v>0.2</v>
      </c>
      <c r="L970" s="5">
        <f>INDEX(products!$A$1:$G$49,MATCH(orders!$D970,products!$A$1:$A$49,0),MATCH(orders!L$1,products!$A$1:$G$1,0))</f>
        <v>2.9849999999999999</v>
      </c>
      <c r="M970" s="4">
        <f t="shared" si="45"/>
        <v>5.97</v>
      </c>
      <c r="N970" t="str">
        <f t="shared" si="46"/>
        <v>Robusta</v>
      </c>
      <c r="O970" t="str">
        <f t="shared" si="47"/>
        <v>Medium</v>
      </c>
      <c r="P970" t="str">
        <f>_xlfn.XLOOKUP(Table1[[#This Row],[Customer ID]],customers!$A$1:$A$1001,customers!$I$1:$I$1001,,0)</f>
        <v>No</v>
      </c>
    </row>
    <row r="971" spans="1:16" x14ac:dyDescent="0.3">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6">
        <f>INDEX(products!$A$1:$G$49,MATCH(orders!$D971,products!$A$1:$A$49,0),MATCH(orders!K$1,products!$A$1:$G$1,0))</f>
        <v>1</v>
      </c>
      <c r="L971" s="5">
        <f>INDEX(products!$A$1:$G$49,MATCH(orders!$D971,products!$A$1:$A$49,0),MATCH(orders!L$1,products!$A$1:$G$1,0))</f>
        <v>12.95</v>
      </c>
      <c r="M971" s="4">
        <f t="shared" si="45"/>
        <v>12.95</v>
      </c>
      <c r="N971" t="str">
        <f t="shared" si="46"/>
        <v>Librica</v>
      </c>
      <c r="O971" t="str">
        <f t="shared" si="47"/>
        <v>Dark</v>
      </c>
      <c r="P971" t="str">
        <f>_xlfn.XLOOKUP(Table1[[#This Row],[Customer ID]],customers!$A$1:$A$1001,customers!$I$1:$I$1001,,0)</f>
        <v>Yes</v>
      </c>
    </row>
    <row r="972" spans="1:16" x14ac:dyDescent="0.3">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6">
        <f>INDEX(products!$A$1:$G$49,MATCH(orders!$D972,products!$A$1:$A$49,0),MATCH(orders!K$1,products!$A$1:$G$1,0))</f>
        <v>0.5</v>
      </c>
      <c r="L972" s="5">
        <f>INDEX(products!$A$1:$G$49,MATCH(orders!$D972,products!$A$1:$A$49,0),MATCH(orders!L$1,products!$A$1:$G$1,0))</f>
        <v>8.25</v>
      </c>
      <c r="M972" s="4">
        <f t="shared" si="45"/>
        <v>8.25</v>
      </c>
      <c r="N972" t="str">
        <f t="shared" si="46"/>
        <v>Excelsa</v>
      </c>
      <c r="O972" t="str">
        <f t="shared" si="47"/>
        <v>Medium</v>
      </c>
      <c r="P972" t="str">
        <f>_xlfn.XLOOKUP(Table1[[#This Row],[Customer ID]],customers!$A$1:$A$1001,customers!$I$1:$I$1001,,0)</f>
        <v>No</v>
      </c>
    </row>
    <row r="973" spans="1:16" x14ac:dyDescent="0.3">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6">
        <f>INDEX(products!$A$1:$G$49,MATCH(orders!$D973,products!$A$1:$A$49,0),MATCH(orders!K$1,products!$A$1:$G$1,0))</f>
        <v>2.5</v>
      </c>
      <c r="L973" s="5">
        <f>INDEX(products!$A$1:$G$49,MATCH(orders!$D973,products!$A$1:$A$49,0),MATCH(orders!L$1,products!$A$1:$G$1,0))</f>
        <v>29.784999999999997</v>
      </c>
      <c r="M973" s="4">
        <f t="shared" si="45"/>
        <v>148.92499999999998</v>
      </c>
      <c r="N973" t="str">
        <f t="shared" si="46"/>
        <v>Arabica</v>
      </c>
      <c r="O973" t="str">
        <f t="shared" si="47"/>
        <v>Light</v>
      </c>
      <c r="P973" t="str">
        <f>_xlfn.XLOOKUP(Table1[[#This Row],[Customer ID]],customers!$A$1:$A$1001,customers!$I$1:$I$1001,,0)</f>
        <v>No</v>
      </c>
    </row>
    <row r="974" spans="1:16" x14ac:dyDescent="0.3">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6">
        <f>INDEX(products!$A$1:$G$49,MATCH(orders!$D974,products!$A$1:$A$49,0),MATCH(orders!K$1,products!$A$1:$G$1,0))</f>
        <v>2.5</v>
      </c>
      <c r="L974" s="5">
        <f>INDEX(products!$A$1:$G$49,MATCH(orders!$D974,products!$A$1:$A$49,0),MATCH(orders!L$1,products!$A$1:$G$1,0))</f>
        <v>29.784999999999997</v>
      </c>
      <c r="M974" s="4">
        <f t="shared" si="45"/>
        <v>89.35499999999999</v>
      </c>
      <c r="N974" t="str">
        <f t="shared" si="46"/>
        <v>Arabica</v>
      </c>
      <c r="O974" t="str">
        <f t="shared" si="47"/>
        <v>Light</v>
      </c>
      <c r="P974" t="str">
        <f>_xlfn.XLOOKUP(Table1[[#This Row],[Customer ID]],customers!$A$1:$A$1001,customers!$I$1:$I$1001,,0)</f>
        <v>Yes</v>
      </c>
    </row>
    <row r="975" spans="1:16" x14ac:dyDescent="0.3">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6">
        <f>INDEX(products!$A$1:$G$49,MATCH(orders!$D975,products!$A$1:$A$49,0),MATCH(orders!K$1,products!$A$1:$G$1,0))</f>
        <v>1</v>
      </c>
      <c r="L975" s="5">
        <f>INDEX(products!$A$1:$G$49,MATCH(orders!$D975,products!$A$1:$A$49,0),MATCH(orders!L$1,products!$A$1:$G$1,0))</f>
        <v>14.55</v>
      </c>
      <c r="M975" s="4">
        <f t="shared" si="45"/>
        <v>87.300000000000011</v>
      </c>
      <c r="N975" t="str">
        <f t="shared" si="46"/>
        <v>Librica</v>
      </c>
      <c r="O975" t="str">
        <f t="shared" si="47"/>
        <v>Medium</v>
      </c>
      <c r="P975" t="str">
        <f>_xlfn.XLOOKUP(Table1[[#This Row],[Customer ID]],customers!$A$1:$A$1001,customers!$I$1:$I$1001,,0)</f>
        <v>No</v>
      </c>
    </row>
    <row r="976" spans="1:16" x14ac:dyDescent="0.3">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6">
        <f>INDEX(products!$A$1:$G$49,MATCH(orders!$D976,products!$A$1:$A$49,0),MATCH(orders!K$1,products!$A$1:$G$1,0))</f>
        <v>0.5</v>
      </c>
      <c r="L976" s="5">
        <f>INDEX(products!$A$1:$G$49,MATCH(orders!$D976,products!$A$1:$A$49,0),MATCH(orders!L$1,products!$A$1:$G$1,0))</f>
        <v>5.3699999999999992</v>
      </c>
      <c r="M976" s="4">
        <f t="shared" si="45"/>
        <v>5.3699999999999992</v>
      </c>
      <c r="N976" t="str">
        <f t="shared" si="46"/>
        <v>Robusta</v>
      </c>
      <c r="O976" t="str">
        <f t="shared" si="47"/>
        <v>Dark</v>
      </c>
      <c r="P976" t="str">
        <f>_xlfn.XLOOKUP(Table1[[#This Row],[Customer ID]],customers!$A$1:$A$1001,customers!$I$1:$I$1001,,0)</f>
        <v>Yes</v>
      </c>
    </row>
    <row r="977" spans="1:16" x14ac:dyDescent="0.3">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6">
        <f>INDEX(products!$A$1:$G$49,MATCH(orders!$D977,products!$A$1:$A$49,0),MATCH(orders!K$1,products!$A$1:$G$1,0))</f>
        <v>0.2</v>
      </c>
      <c r="L977" s="5">
        <f>INDEX(products!$A$1:$G$49,MATCH(orders!$D977,products!$A$1:$A$49,0),MATCH(orders!L$1,products!$A$1:$G$1,0))</f>
        <v>2.9849999999999999</v>
      </c>
      <c r="M977" s="4">
        <f t="shared" si="45"/>
        <v>8.9550000000000001</v>
      </c>
      <c r="N977" t="str">
        <f t="shared" si="46"/>
        <v>Arabica</v>
      </c>
      <c r="O977" t="str">
        <f t="shared" si="47"/>
        <v>Dark</v>
      </c>
      <c r="P977" t="str">
        <f>_xlfn.XLOOKUP(Table1[[#This Row],[Customer ID]],customers!$A$1:$A$1001,customers!$I$1:$I$1001,,0)</f>
        <v>Yes</v>
      </c>
    </row>
    <row r="978" spans="1:16" x14ac:dyDescent="0.3">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6">
        <f>INDEX(products!$A$1:$G$49,MATCH(orders!$D978,products!$A$1:$A$49,0),MATCH(orders!K$1,products!$A$1:$G$1,0))</f>
        <v>2.5</v>
      </c>
      <c r="L978" s="5">
        <f>INDEX(products!$A$1:$G$49,MATCH(orders!$D978,products!$A$1:$A$49,0),MATCH(orders!L$1,products!$A$1:$G$1,0))</f>
        <v>27.484999999999996</v>
      </c>
      <c r="M978" s="4">
        <f t="shared" si="45"/>
        <v>137.42499999999998</v>
      </c>
      <c r="N978" t="str">
        <f t="shared" si="46"/>
        <v>Robusta</v>
      </c>
      <c r="O978" t="str">
        <f t="shared" si="47"/>
        <v>Light</v>
      </c>
      <c r="P978" t="str">
        <f>_xlfn.XLOOKUP(Table1[[#This Row],[Customer ID]],customers!$A$1:$A$1001,customers!$I$1:$I$1001,,0)</f>
        <v>Yes</v>
      </c>
    </row>
    <row r="979" spans="1:16" x14ac:dyDescent="0.3">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6">
        <f>INDEX(products!$A$1:$G$49,MATCH(orders!$D979,products!$A$1:$A$49,0),MATCH(orders!K$1,products!$A$1:$G$1,0))</f>
        <v>1</v>
      </c>
      <c r="L979" s="5">
        <f>INDEX(products!$A$1:$G$49,MATCH(orders!$D979,products!$A$1:$A$49,0),MATCH(orders!L$1,products!$A$1:$G$1,0))</f>
        <v>11.95</v>
      </c>
      <c r="M979" s="4">
        <f t="shared" si="45"/>
        <v>59.75</v>
      </c>
      <c r="N979" t="str">
        <f t="shared" si="46"/>
        <v>Robusta</v>
      </c>
      <c r="O979" t="str">
        <f t="shared" si="47"/>
        <v>Light</v>
      </c>
      <c r="P979" t="str">
        <f>_xlfn.XLOOKUP(Table1[[#This Row],[Customer ID]],customers!$A$1:$A$1001,customers!$I$1:$I$1001,,0)</f>
        <v>No</v>
      </c>
    </row>
    <row r="980" spans="1:16" x14ac:dyDescent="0.3">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6">
        <f>INDEX(products!$A$1:$G$49,MATCH(orders!$D980,products!$A$1:$A$49,0),MATCH(orders!K$1,products!$A$1:$G$1,0))</f>
        <v>0.5</v>
      </c>
      <c r="L980" s="5">
        <f>INDEX(products!$A$1:$G$49,MATCH(orders!$D980,products!$A$1:$A$49,0),MATCH(orders!L$1,products!$A$1:$G$1,0))</f>
        <v>7.77</v>
      </c>
      <c r="M980" s="4">
        <f t="shared" si="45"/>
        <v>23.31</v>
      </c>
      <c r="N980" t="str">
        <f t="shared" si="46"/>
        <v>Arabica</v>
      </c>
      <c r="O980" t="str">
        <f t="shared" si="47"/>
        <v>Light</v>
      </c>
      <c r="P980" t="str">
        <f>_xlfn.XLOOKUP(Table1[[#This Row],[Customer ID]],customers!$A$1:$A$1001,customers!$I$1:$I$1001,,0)</f>
        <v>No</v>
      </c>
    </row>
    <row r="981" spans="1:16" x14ac:dyDescent="0.3">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6">
        <f>INDEX(products!$A$1:$G$49,MATCH(orders!$D981,products!$A$1:$A$49,0),MATCH(orders!K$1,products!$A$1:$G$1,0))</f>
        <v>0.5</v>
      </c>
      <c r="L981" s="5">
        <f>INDEX(products!$A$1:$G$49,MATCH(orders!$D981,products!$A$1:$A$49,0),MATCH(orders!L$1,products!$A$1:$G$1,0))</f>
        <v>5.3699999999999992</v>
      </c>
      <c r="M981" s="4">
        <f t="shared" si="45"/>
        <v>10.739999999999998</v>
      </c>
      <c r="N981" t="str">
        <f t="shared" si="46"/>
        <v>Robusta</v>
      </c>
      <c r="O981" t="str">
        <f t="shared" si="47"/>
        <v>Dark</v>
      </c>
      <c r="P981" t="str">
        <f>_xlfn.XLOOKUP(Table1[[#This Row],[Customer ID]],customers!$A$1:$A$1001,customers!$I$1:$I$1001,,0)</f>
        <v>No</v>
      </c>
    </row>
    <row r="982" spans="1:16" x14ac:dyDescent="0.3">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6">
        <f>INDEX(products!$A$1:$G$49,MATCH(orders!$D982,products!$A$1:$A$49,0),MATCH(orders!K$1,products!$A$1:$G$1,0))</f>
        <v>2.5</v>
      </c>
      <c r="L982" s="5">
        <f>INDEX(products!$A$1:$G$49,MATCH(orders!$D982,products!$A$1:$A$49,0),MATCH(orders!L$1,products!$A$1:$G$1,0))</f>
        <v>27.945</v>
      </c>
      <c r="M982" s="4">
        <f t="shared" si="45"/>
        <v>167.67000000000002</v>
      </c>
      <c r="N982" t="str">
        <f t="shared" si="46"/>
        <v>Excelsa</v>
      </c>
      <c r="O982" t="str">
        <f t="shared" si="47"/>
        <v>Dark</v>
      </c>
      <c r="P982" t="str">
        <f>_xlfn.XLOOKUP(Table1[[#This Row],[Customer ID]],customers!$A$1:$A$1001,customers!$I$1:$I$1001,,0)</f>
        <v>Yes</v>
      </c>
    </row>
    <row r="983" spans="1:16" x14ac:dyDescent="0.3">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6">
        <f>INDEX(products!$A$1:$G$49,MATCH(orders!$D983,products!$A$1:$A$49,0),MATCH(orders!K$1,products!$A$1:$G$1,0))</f>
        <v>0.2</v>
      </c>
      <c r="L983" s="5">
        <f>INDEX(products!$A$1:$G$49,MATCH(orders!$D983,products!$A$1:$A$49,0),MATCH(orders!L$1,products!$A$1:$G$1,0))</f>
        <v>3.645</v>
      </c>
      <c r="M983" s="4">
        <f t="shared" si="45"/>
        <v>21.87</v>
      </c>
      <c r="N983" t="str">
        <f t="shared" si="46"/>
        <v>Excelsa</v>
      </c>
      <c r="O983" t="str">
        <f t="shared" si="47"/>
        <v>Dark</v>
      </c>
      <c r="P983" t="str">
        <f>_xlfn.XLOOKUP(Table1[[#This Row],[Customer ID]],customers!$A$1:$A$1001,customers!$I$1:$I$1001,,0)</f>
        <v>Yes</v>
      </c>
    </row>
    <row r="984" spans="1:16" x14ac:dyDescent="0.3">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6">
        <f>INDEX(products!$A$1:$G$49,MATCH(orders!$D984,products!$A$1:$A$49,0),MATCH(orders!K$1,products!$A$1:$G$1,0))</f>
        <v>1</v>
      </c>
      <c r="L984" s="5">
        <f>INDEX(products!$A$1:$G$49,MATCH(orders!$D984,products!$A$1:$A$49,0),MATCH(orders!L$1,products!$A$1:$G$1,0))</f>
        <v>11.95</v>
      </c>
      <c r="M984" s="4">
        <f t="shared" si="45"/>
        <v>23.9</v>
      </c>
      <c r="N984" t="str">
        <f t="shared" si="46"/>
        <v>Robusta</v>
      </c>
      <c r="O984" t="str">
        <f t="shared" si="47"/>
        <v>Light</v>
      </c>
      <c r="P984" t="str">
        <f>_xlfn.XLOOKUP(Table1[[#This Row],[Customer ID]],customers!$A$1:$A$1001,customers!$I$1:$I$1001,,0)</f>
        <v>Yes</v>
      </c>
    </row>
    <row r="985" spans="1:16" x14ac:dyDescent="0.3">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6">
        <f>INDEX(products!$A$1:$G$49,MATCH(orders!$D985,products!$A$1:$A$49,0),MATCH(orders!K$1,products!$A$1:$G$1,0))</f>
        <v>0.2</v>
      </c>
      <c r="L985" s="5">
        <f>INDEX(products!$A$1:$G$49,MATCH(orders!$D985,products!$A$1:$A$49,0),MATCH(orders!L$1,products!$A$1:$G$1,0))</f>
        <v>3.375</v>
      </c>
      <c r="M985" s="4">
        <f t="shared" si="45"/>
        <v>6.75</v>
      </c>
      <c r="N985" t="str">
        <f t="shared" si="46"/>
        <v>Arabica</v>
      </c>
      <c r="O985" t="str">
        <f t="shared" si="47"/>
        <v>Medium</v>
      </c>
      <c r="P985" t="str">
        <f>_xlfn.XLOOKUP(Table1[[#This Row],[Customer ID]],customers!$A$1:$A$1001,customers!$I$1:$I$1001,,0)</f>
        <v>Yes</v>
      </c>
    </row>
    <row r="986" spans="1:16" x14ac:dyDescent="0.3">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6">
        <f>INDEX(products!$A$1:$G$49,MATCH(orders!$D986,products!$A$1:$A$49,0),MATCH(orders!K$1,products!$A$1:$G$1,0))</f>
        <v>2.5</v>
      </c>
      <c r="L986" s="5">
        <f>INDEX(products!$A$1:$G$49,MATCH(orders!$D986,products!$A$1:$A$49,0),MATCH(orders!L$1,products!$A$1:$G$1,0))</f>
        <v>31.624999999999996</v>
      </c>
      <c r="M986" s="4">
        <f t="shared" si="45"/>
        <v>31.624999999999996</v>
      </c>
      <c r="N986" t="str">
        <f t="shared" si="46"/>
        <v>Excelsa</v>
      </c>
      <c r="O986" t="str">
        <f t="shared" si="47"/>
        <v>Medium</v>
      </c>
      <c r="P986" t="str">
        <f>_xlfn.XLOOKUP(Table1[[#This Row],[Customer ID]],customers!$A$1:$A$1001,customers!$I$1:$I$1001,,0)</f>
        <v>Yes</v>
      </c>
    </row>
    <row r="987" spans="1:16" x14ac:dyDescent="0.3">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6">
        <f>INDEX(products!$A$1:$G$49,MATCH(orders!$D987,products!$A$1:$A$49,0),MATCH(orders!K$1,products!$A$1:$G$1,0))</f>
        <v>1</v>
      </c>
      <c r="L987" s="5">
        <f>INDEX(products!$A$1:$G$49,MATCH(orders!$D987,products!$A$1:$A$49,0),MATCH(orders!L$1,products!$A$1:$G$1,0))</f>
        <v>11.95</v>
      </c>
      <c r="M987" s="4">
        <f t="shared" si="45"/>
        <v>47.8</v>
      </c>
      <c r="N987" t="str">
        <f t="shared" si="46"/>
        <v>Robusta</v>
      </c>
      <c r="O987" t="str">
        <f t="shared" si="47"/>
        <v>Light</v>
      </c>
      <c r="P987" t="str">
        <f>_xlfn.XLOOKUP(Table1[[#This Row],[Customer ID]],customers!$A$1:$A$1001,customers!$I$1:$I$1001,,0)</f>
        <v>No</v>
      </c>
    </row>
    <row r="988" spans="1:16" x14ac:dyDescent="0.3">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6">
        <f>INDEX(products!$A$1:$G$49,MATCH(orders!$D988,products!$A$1:$A$49,0),MATCH(orders!K$1,products!$A$1:$G$1,0))</f>
        <v>2.5</v>
      </c>
      <c r="L988" s="5">
        <f>INDEX(products!$A$1:$G$49,MATCH(orders!$D988,products!$A$1:$A$49,0),MATCH(orders!L$1,products!$A$1:$G$1,0))</f>
        <v>33.464999999999996</v>
      </c>
      <c r="M988" s="4">
        <f t="shared" si="45"/>
        <v>33.464999999999996</v>
      </c>
      <c r="N988" t="str">
        <f t="shared" si="46"/>
        <v>Librica</v>
      </c>
      <c r="O988" t="str">
        <f t="shared" si="47"/>
        <v>Medium</v>
      </c>
      <c r="P988" t="str">
        <f>_xlfn.XLOOKUP(Table1[[#This Row],[Customer ID]],customers!$A$1:$A$1001,customers!$I$1:$I$1001,,0)</f>
        <v>No</v>
      </c>
    </row>
    <row r="989" spans="1:16" x14ac:dyDescent="0.3">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6">
        <f>INDEX(products!$A$1:$G$49,MATCH(orders!$D989,products!$A$1:$A$49,0),MATCH(orders!K$1,products!$A$1:$G$1,0))</f>
        <v>0.5</v>
      </c>
      <c r="L989" s="5">
        <f>INDEX(products!$A$1:$G$49,MATCH(orders!$D989,products!$A$1:$A$49,0),MATCH(orders!L$1,products!$A$1:$G$1,0))</f>
        <v>5.97</v>
      </c>
      <c r="M989" s="4">
        <f t="shared" si="45"/>
        <v>29.849999999999998</v>
      </c>
      <c r="N989" t="str">
        <f t="shared" si="46"/>
        <v>Arabica</v>
      </c>
      <c r="O989" t="str">
        <f t="shared" si="47"/>
        <v>Dark</v>
      </c>
      <c r="P989" t="str">
        <f>_xlfn.XLOOKUP(Table1[[#This Row],[Customer ID]],customers!$A$1:$A$1001,customers!$I$1:$I$1001,,0)</f>
        <v>Yes</v>
      </c>
    </row>
    <row r="990" spans="1:16" x14ac:dyDescent="0.3">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6">
        <f>INDEX(products!$A$1:$G$49,MATCH(orders!$D990,products!$A$1:$A$49,0),MATCH(orders!K$1,products!$A$1:$G$1,0))</f>
        <v>1</v>
      </c>
      <c r="L990" s="5">
        <f>INDEX(products!$A$1:$G$49,MATCH(orders!$D990,products!$A$1:$A$49,0),MATCH(orders!L$1,products!$A$1:$G$1,0))</f>
        <v>9.9499999999999993</v>
      </c>
      <c r="M990" s="4">
        <f t="shared" si="45"/>
        <v>29.849999999999998</v>
      </c>
      <c r="N990" t="str">
        <f t="shared" si="46"/>
        <v>Robusta</v>
      </c>
      <c r="O990" t="str">
        <f t="shared" si="47"/>
        <v>Medium</v>
      </c>
      <c r="P990" t="str">
        <f>_xlfn.XLOOKUP(Table1[[#This Row],[Customer ID]],customers!$A$1:$A$1001,customers!$I$1:$I$1001,,0)</f>
        <v>Yes</v>
      </c>
    </row>
    <row r="991" spans="1:16" x14ac:dyDescent="0.3">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6">
        <f>INDEX(products!$A$1:$G$49,MATCH(orders!$D991,products!$A$1:$A$49,0),MATCH(orders!K$1,products!$A$1:$G$1,0))</f>
        <v>2.5</v>
      </c>
      <c r="L991" s="5">
        <f>INDEX(products!$A$1:$G$49,MATCH(orders!$D991,products!$A$1:$A$49,0),MATCH(orders!L$1,products!$A$1:$G$1,0))</f>
        <v>25.874999999999996</v>
      </c>
      <c r="M991" s="4">
        <f t="shared" si="45"/>
        <v>155.24999999999997</v>
      </c>
      <c r="N991" t="str">
        <f t="shared" si="46"/>
        <v>Arabica</v>
      </c>
      <c r="O991" t="str">
        <f t="shared" si="47"/>
        <v>Medium</v>
      </c>
      <c r="P991" t="str">
        <f>_xlfn.XLOOKUP(Table1[[#This Row],[Customer ID]],customers!$A$1:$A$1001,customers!$I$1:$I$1001,,0)</f>
        <v>Yes</v>
      </c>
    </row>
    <row r="992" spans="1:16" x14ac:dyDescent="0.3">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6">
        <f>INDEX(products!$A$1:$G$49,MATCH(orders!$D992,products!$A$1:$A$49,0),MATCH(orders!K$1,products!$A$1:$G$1,0))</f>
        <v>0.2</v>
      </c>
      <c r="L992" s="5">
        <f>INDEX(products!$A$1:$G$49,MATCH(orders!$D992,products!$A$1:$A$49,0),MATCH(orders!L$1,products!$A$1:$G$1,0))</f>
        <v>3.645</v>
      </c>
      <c r="M992" s="4">
        <f t="shared" si="45"/>
        <v>18.225000000000001</v>
      </c>
      <c r="N992" t="str">
        <f t="shared" si="46"/>
        <v>Excelsa</v>
      </c>
      <c r="O992" t="str">
        <f t="shared" si="47"/>
        <v>Dark</v>
      </c>
      <c r="P992" t="str">
        <f>_xlfn.XLOOKUP(Table1[[#This Row],[Customer ID]],customers!$A$1:$A$1001,customers!$I$1:$I$1001,,0)</f>
        <v>No</v>
      </c>
    </row>
    <row r="993" spans="1:16" x14ac:dyDescent="0.3">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6">
        <f>INDEX(products!$A$1:$G$49,MATCH(orders!$D993,products!$A$1:$A$49,0),MATCH(orders!K$1,products!$A$1:$G$1,0))</f>
        <v>0.5</v>
      </c>
      <c r="L993" s="5">
        <f>INDEX(products!$A$1:$G$49,MATCH(orders!$D993,products!$A$1:$A$49,0),MATCH(orders!L$1,products!$A$1:$G$1,0))</f>
        <v>7.77</v>
      </c>
      <c r="M993" s="4">
        <f t="shared" si="45"/>
        <v>15.54</v>
      </c>
      <c r="N993" t="str">
        <f t="shared" si="46"/>
        <v>Librica</v>
      </c>
      <c r="O993" t="str">
        <f t="shared" si="47"/>
        <v>Dark</v>
      </c>
      <c r="P993" t="str">
        <f>_xlfn.XLOOKUP(Table1[[#This Row],[Customer ID]],customers!$A$1:$A$1001,customers!$I$1:$I$1001,,0)</f>
        <v>No</v>
      </c>
    </row>
    <row r="994" spans="1:16" x14ac:dyDescent="0.3">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6">
        <f>INDEX(products!$A$1:$G$49,MATCH(orders!$D994,products!$A$1:$A$49,0),MATCH(orders!K$1,products!$A$1:$G$1,0))</f>
        <v>2.5</v>
      </c>
      <c r="L994" s="5">
        <f>INDEX(products!$A$1:$G$49,MATCH(orders!$D994,products!$A$1:$A$49,0),MATCH(orders!L$1,products!$A$1:$G$1,0))</f>
        <v>36.454999999999998</v>
      </c>
      <c r="M994" s="4">
        <f t="shared" si="45"/>
        <v>109.36499999999999</v>
      </c>
      <c r="N994" t="str">
        <f t="shared" si="46"/>
        <v>Librica</v>
      </c>
      <c r="O994" t="str">
        <f t="shared" si="47"/>
        <v>Light</v>
      </c>
      <c r="P994" t="str">
        <f>_xlfn.XLOOKUP(Table1[[#This Row],[Customer ID]],customers!$A$1:$A$1001,customers!$I$1:$I$1001,,0)</f>
        <v>No</v>
      </c>
    </row>
    <row r="995" spans="1:16" x14ac:dyDescent="0.3">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6">
        <f>INDEX(products!$A$1:$G$49,MATCH(orders!$D995,products!$A$1:$A$49,0),MATCH(orders!K$1,products!$A$1:$G$1,0))</f>
        <v>1</v>
      </c>
      <c r="L995" s="5">
        <f>INDEX(products!$A$1:$G$49,MATCH(orders!$D995,products!$A$1:$A$49,0),MATCH(orders!L$1,products!$A$1:$G$1,0))</f>
        <v>12.95</v>
      </c>
      <c r="M995" s="4">
        <f t="shared" si="45"/>
        <v>77.699999999999989</v>
      </c>
      <c r="N995" t="str">
        <f t="shared" si="46"/>
        <v>Arabica</v>
      </c>
      <c r="O995" t="str">
        <f t="shared" si="47"/>
        <v>Light</v>
      </c>
      <c r="P995" t="str">
        <f>_xlfn.XLOOKUP(Table1[[#This Row],[Customer ID]],customers!$A$1:$A$1001,customers!$I$1:$I$1001,,0)</f>
        <v>No</v>
      </c>
    </row>
    <row r="996" spans="1:16" x14ac:dyDescent="0.3">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6">
        <f>INDEX(products!$A$1:$G$49,MATCH(orders!$D996,products!$A$1:$A$49,0),MATCH(orders!K$1,products!$A$1:$G$1,0))</f>
        <v>0.2</v>
      </c>
      <c r="L996" s="5">
        <f>INDEX(products!$A$1:$G$49,MATCH(orders!$D996,products!$A$1:$A$49,0),MATCH(orders!L$1,products!$A$1:$G$1,0))</f>
        <v>2.9849999999999999</v>
      </c>
      <c r="M996" s="4">
        <f t="shared" si="45"/>
        <v>8.9550000000000001</v>
      </c>
      <c r="N996" t="str">
        <f t="shared" si="46"/>
        <v>Arabica</v>
      </c>
      <c r="O996" t="str">
        <f t="shared" si="47"/>
        <v>Dark</v>
      </c>
      <c r="P996" t="str">
        <f>_xlfn.XLOOKUP(Table1[[#This Row],[Customer ID]],customers!$A$1:$A$1001,customers!$I$1:$I$1001,,0)</f>
        <v>No</v>
      </c>
    </row>
    <row r="997" spans="1:16" x14ac:dyDescent="0.3">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6">
        <f>INDEX(products!$A$1:$G$49,MATCH(orders!$D997,products!$A$1:$A$49,0),MATCH(orders!K$1,products!$A$1:$G$1,0))</f>
        <v>2.5</v>
      </c>
      <c r="L997" s="5">
        <f>INDEX(products!$A$1:$G$49,MATCH(orders!$D997,products!$A$1:$A$49,0),MATCH(orders!L$1,products!$A$1:$G$1,0))</f>
        <v>27.484999999999996</v>
      </c>
      <c r="M997" s="4">
        <f t="shared" si="45"/>
        <v>27.484999999999996</v>
      </c>
      <c r="N997" t="str">
        <f t="shared" si="46"/>
        <v>Robusta</v>
      </c>
      <c r="O997" t="str">
        <f t="shared" si="47"/>
        <v>Light</v>
      </c>
      <c r="P997" t="str">
        <f>_xlfn.XLOOKUP(Table1[[#This Row],[Customer ID]],customers!$A$1:$A$1001,customers!$I$1:$I$1001,,0)</f>
        <v>No</v>
      </c>
    </row>
    <row r="998" spans="1:16" x14ac:dyDescent="0.3">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6">
        <f>INDEX(products!$A$1:$G$49,MATCH(orders!$D998,products!$A$1:$A$49,0),MATCH(orders!K$1,products!$A$1:$G$1,0))</f>
        <v>0.5</v>
      </c>
      <c r="L998" s="5">
        <f>INDEX(products!$A$1:$G$49,MATCH(orders!$D998,products!$A$1:$A$49,0),MATCH(orders!L$1,products!$A$1:$G$1,0))</f>
        <v>5.97</v>
      </c>
      <c r="M998" s="4">
        <f t="shared" si="45"/>
        <v>29.849999999999998</v>
      </c>
      <c r="N998" t="str">
        <f t="shared" si="46"/>
        <v>Robusta</v>
      </c>
      <c r="O998" t="str">
        <f t="shared" si="47"/>
        <v>Medium</v>
      </c>
      <c r="P998" t="str">
        <f>_xlfn.XLOOKUP(Table1[[#This Row],[Customer ID]],customers!$A$1:$A$1001,customers!$I$1:$I$1001,,0)</f>
        <v>No</v>
      </c>
    </row>
    <row r="999" spans="1:16" x14ac:dyDescent="0.3">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6">
        <f>INDEX(products!$A$1:$G$49,MATCH(orders!$D999,products!$A$1:$A$49,0),MATCH(orders!K$1,products!$A$1:$G$1,0))</f>
        <v>0.5</v>
      </c>
      <c r="L999" s="5">
        <f>INDEX(products!$A$1:$G$49,MATCH(orders!$D999,products!$A$1:$A$49,0),MATCH(orders!L$1,products!$A$1:$G$1,0))</f>
        <v>6.75</v>
      </c>
      <c r="M999" s="4">
        <f t="shared" si="45"/>
        <v>27</v>
      </c>
      <c r="N999" t="str">
        <f t="shared" si="46"/>
        <v>Arabica</v>
      </c>
      <c r="O999" t="str">
        <f t="shared" si="47"/>
        <v>Medium</v>
      </c>
      <c r="P999" t="str">
        <f>_xlfn.XLOOKUP(Table1[[#This Row],[Customer ID]],customers!$A$1:$A$1001,customers!$I$1:$I$1001,,0)</f>
        <v>No</v>
      </c>
    </row>
    <row r="1000" spans="1:16" x14ac:dyDescent="0.3">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6">
        <f>INDEX(products!$A$1:$G$49,MATCH(orders!$D1000,products!$A$1:$A$49,0),MATCH(orders!K$1,products!$A$1:$G$1,0))</f>
        <v>1</v>
      </c>
      <c r="L1000" s="5">
        <f>INDEX(products!$A$1:$G$49,MATCH(orders!$D1000,products!$A$1:$A$49,0),MATCH(orders!L$1,products!$A$1:$G$1,0))</f>
        <v>9.9499999999999993</v>
      </c>
      <c r="M1000" s="4">
        <f t="shared" si="45"/>
        <v>9.9499999999999993</v>
      </c>
      <c r="N1000" t="str">
        <f t="shared" si="46"/>
        <v>Arabica</v>
      </c>
      <c r="O1000" t="str">
        <f t="shared" si="47"/>
        <v>Dark</v>
      </c>
      <c r="P1000" t="str">
        <f>_xlfn.XLOOKUP(Table1[[#This Row],[Customer ID]],customers!$A$1:$A$1001,customers!$I$1:$I$1001,,0)</f>
        <v>No</v>
      </c>
    </row>
    <row r="1001" spans="1:16" x14ac:dyDescent="0.3">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6">
        <f>INDEX(products!$A$1:$G$49,MATCH(orders!$D1001,products!$A$1:$A$49,0),MATCH(orders!K$1,products!$A$1:$G$1,0))</f>
        <v>0.2</v>
      </c>
      <c r="L1001" s="5">
        <f>INDEX(products!$A$1:$G$49,MATCH(orders!$D1001,products!$A$1:$A$49,0),MATCH(orders!L$1,products!$A$1:$G$1,0))</f>
        <v>4.125</v>
      </c>
      <c r="M1001" s="4">
        <f t="shared" si="45"/>
        <v>12.375</v>
      </c>
      <c r="N1001" t="str">
        <f t="shared" si="46"/>
        <v>Excelsa</v>
      </c>
      <c r="O1001" t="str">
        <f t="shared" si="47"/>
        <v>Medium</v>
      </c>
      <c r="P1001" t="str">
        <f>_xlfn.XLOOKUP(Table1[[#This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zoomScale="92" workbookViewId="0">
      <selection sqref="A1:I1001"/>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8" max="8" width="10.77734375" customWidth="1"/>
    <col min="9" max="9" width="13.33203125"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zoomScale="92" workbookViewId="0">
      <selection sqref="A1:G49"/>
    </sheetView>
  </sheetViews>
  <sheetFormatPr defaultRowHeight="14.4" x14ac:dyDescent="0.3"/>
  <cols>
    <col min="1" max="1" width="12" customWidth="1"/>
    <col min="2" max="2" width="13" customWidth="1"/>
    <col min="3" max="3" width="12.33203125" customWidth="1"/>
    <col min="4" max="4" width="6.33203125" customWidth="1"/>
    <col min="5" max="5" width="11.21875" customWidth="1"/>
    <col min="6" max="6" width="15.21875"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CountryBarChart</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Harsh Singh</cp:lastModifiedBy>
  <cp:revision/>
  <cp:lastPrinted>2026-01-12T12:24:41Z</cp:lastPrinted>
  <dcterms:created xsi:type="dcterms:W3CDTF">2022-11-26T09:51:45Z</dcterms:created>
  <dcterms:modified xsi:type="dcterms:W3CDTF">2026-01-12T12:28:47Z</dcterms:modified>
  <cp:category/>
  <cp:contentStatus/>
</cp:coreProperties>
</file>